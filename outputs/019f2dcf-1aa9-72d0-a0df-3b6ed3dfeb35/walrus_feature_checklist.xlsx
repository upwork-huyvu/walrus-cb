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Summary" sheetId="1" state="visible" r:id="rId1"/>
    <sheet xmlns:r="http://schemas.openxmlformats.org/officeDocument/2006/relationships" name="App Checklist" sheetId="2" state="visible" r:id="rId2"/>
    <sheet xmlns:r="http://schemas.openxmlformats.org/officeDocument/2006/relationships" name="Web Backend Checklist" sheetId="3" state="visible" r:id="rId3"/>
    <sheet xmlns:r="http://schemas.openxmlformats.org/officeDocument/2006/relationships" name="Milestone Map" sheetId="4" state="visible" r:id="rId4"/>
    <sheet xmlns:r="http://schemas.openxmlformats.org/officeDocument/2006/relationships" name="Source Notes" sheetId="5" state="visible" r:id="rId5"/>
  </sheets>
  <definedNames>
    <definedName name="_xlnm._FilterDatabase" localSheetId="1" hidden="1">'App Checklist'!$A$5:$O$37</definedName>
    <definedName name="_xlnm._FilterDatabase" localSheetId="2" hidden="1">'Web Backend Checklist'!$A$5:$O$25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yyyy-mm-dd"/>
  </numFmts>
  <fonts count="8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5F6B7A"/>
      <sz val="10"/>
    </font>
    <font>
      <name val="Aptos"/>
      <color rgb="005F6B7A"/>
      <sz val="10"/>
    </font>
    <font>
      <name val="Aptos"/>
      <b val="1"/>
      <color rgb="00FFFFFF"/>
      <sz val="10"/>
    </font>
    <font>
      <name val="Aptos"/>
      <b val="1"/>
      <color rgb="005F6B7A"/>
      <sz val="10"/>
    </font>
    <font>
      <name val="Aptos Display"/>
      <b val="1"/>
      <color rgb="0017324D"/>
      <sz val="16"/>
    </font>
    <font>
      <name val="Aptos Display"/>
      <b val="1"/>
      <color rgb="0017324D"/>
      <sz val="14"/>
    </font>
  </fonts>
  <fills count="10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EAF3F8"/>
      </patternFill>
    </fill>
    <fill>
      <patternFill patternType="solid">
        <fgColor rgb="002F6B8F"/>
      </patternFill>
    </fill>
    <fill>
      <patternFill patternType="solid">
        <fgColor rgb="00F3F5F7"/>
      </patternFill>
    </fill>
    <fill>
      <patternFill patternType="solid">
        <fgColor rgb="00FFFFFF"/>
      </patternFill>
    </fill>
    <fill>
      <patternFill patternType="solid">
        <fgColor rgb="002A9D8F"/>
      </patternFill>
    </fill>
    <fill>
      <patternFill patternType="solid">
        <fgColor rgb="00D99B2B"/>
      </patternFill>
    </fill>
    <fill>
      <patternFill patternType="solid">
        <fgColor rgb="00FBFCFD"/>
      </patternFill>
    </fill>
  </fills>
  <borders count="6">
    <border>
      <left/>
      <right/>
      <top/>
      <bottom/>
      <diagonal/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  <border>
      <left/>
      <right/>
      <top style="thin">
        <color rgb="00D8DEE6"/>
      </top>
      <bottom/>
      <diagonal/>
    </border>
    <border>
      <left/>
      <right style="thin">
        <color rgb="00D8DEE6"/>
      </right>
      <top style="thin">
        <color rgb="00D8DEE6"/>
      </top>
      <bottom/>
      <diagonal/>
    </border>
    <border>
      <left/>
      <right/>
      <top style="thin">
        <color rgb="00D8DEE6"/>
      </top>
      <bottom style="thin">
        <color rgb="00D8DEE6"/>
      </bottom>
      <diagonal/>
    </border>
    <border>
      <left/>
      <right style="thin">
        <color rgb="00D8DEE6"/>
      </right>
      <top style="thin">
        <color rgb="00D8DEE6"/>
      </top>
      <bottom style="thin">
        <color rgb="00D8DEE6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5" fillId="5" borderId="1" applyAlignment="1" pivotButton="0" quotePrefix="0" xfId="0">
      <alignment horizontal="center"/>
    </xf>
    <xf numFmtId="1" fontId="0" fillId="0" borderId="1" pivotButton="0" quotePrefix="0" xfId="0"/>
    <xf numFmtId="0" fontId="0" fillId="0" borderId="1" pivotButton="0" quotePrefix="0" xfId="0"/>
    <xf numFmtId="9" fontId="0" fillId="0" borderId="1" pivotButton="0" quotePrefix="0" xfId="0"/>
    <xf numFmtId="164" fontId="0" fillId="0" borderId="1" pivotButton="0" quotePrefix="0" xfId="0"/>
    <xf numFmtId="0" fontId="6" fillId="6" borderId="1" applyAlignment="1" pivotButton="0" quotePrefix="0" xfId="0">
      <alignment horizontal="center"/>
    </xf>
    <xf numFmtId="9" fontId="6" fillId="6" borderId="1" applyAlignment="1" pivotButton="0" quotePrefix="0" xfId="0">
      <alignment horizontal="center"/>
    </xf>
    <xf numFmtId="164" fontId="6" fillId="6" borderId="1" applyAlignment="1" pivotButton="0" quotePrefix="0" xfId="0">
      <alignment horizontal="center"/>
    </xf>
    <xf numFmtId="0" fontId="7" fillId="0" borderId="0" pivotButton="0" quotePrefix="0" xfId="0"/>
    <xf numFmtId="0" fontId="4" fillId="7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0" fillId="6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/>
    </xf>
    <xf numFmtId="9" fontId="0" fillId="6" borderId="1" applyAlignment="1" pivotButton="0" quotePrefix="0" xfId="0">
      <alignment horizontal="center"/>
    </xf>
    <xf numFmtId="164" fontId="0" fillId="6" borderId="1" applyAlignment="1" pivotButton="0" quotePrefix="0" xfId="0">
      <alignment vertical="center" wrapText="1"/>
    </xf>
    <xf numFmtId="9" fontId="0" fillId="6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/>
    </xf>
    <xf numFmtId="0" fontId="0" fillId="5" borderId="1" applyAlignment="1" pivotButton="0" quotePrefix="0" xfId="0">
      <alignment wrapText="1"/>
    </xf>
    <xf numFmtId="0" fontId="0" fillId="5" borderId="1" pivotButton="0" quotePrefix="0" xfId="0"/>
    <xf numFmtId="0" fontId="0" fillId="9" borderId="1" applyAlignment="1" pivotButton="0" quotePrefix="0" xfId="0">
      <alignment vertical="center" wrapText="1"/>
    </xf>
    <xf numFmtId="0" fontId="0" fillId="9" borderId="1" applyAlignment="1" pivotButton="0" quotePrefix="0" xfId="0">
      <alignment horizontal="center"/>
    </xf>
    <xf numFmtId="9" fontId="0" fillId="9" borderId="1" applyAlignment="1" pivotButton="0" quotePrefix="0" xfId="0">
      <alignment horizontal="center"/>
    </xf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164" fontId="0" fillId="0" borderId="1" applyAlignment="1" pivotButton="0" quotePrefix="0" xfId="0">
      <alignment horizontal="center" vertical="top" wrapText="1"/>
    </xf>
    <xf numFmtId="165" fontId="0" fillId="0" borderId="1" applyAlignment="1" pivotButton="0" quotePrefix="0" xfId="0">
      <alignment horizontal="center" vertical="top" wrapText="1"/>
    </xf>
    <xf numFmtId="165" fontId="0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6" borderId="1" applyAlignment="1" pivotButton="0" quotePrefix="0" xfId="0">
      <alignment vertical="top" wrapText="1"/>
    </xf>
    <xf numFmtId="164" fontId="0" fillId="6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164" fontId="0" fillId="9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6">
    <dxf>
      <fill>
        <patternFill patternType="solid">
          <fgColor rgb="00E8F5E9"/>
        </patternFill>
      </fill>
    </dxf>
    <dxf>
      <fill>
        <patternFill patternType="solid">
          <fgColor rgb="00FFF3D8"/>
        </patternFill>
      </fill>
    </dxf>
    <dxf>
      <fill>
        <patternFill patternType="solid">
          <fgColor rgb="00FDECEC"/>
        </patternFill>
      </fill>
    </dxf>
    <dxf>
      <fill>
        <patternFill patternType="solid">
          <fgColor rgb="00FADBD8"/>
        </patternFill>
      </fill>
    </dxf>
    <dxf>
      <fill>
        <patternFill patternType="solid">
          <fgColor rgb="00F3F5F7"/>
        </patternFill>
      </fill>
    </dxf>
    <dxf>
      <fill>
        <patternFill patternType="solid">
          <fgColor rgb="00FFF1F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Checklist Items by Area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'Feature Summary'!$A$10:$A$11</f>
            </numRef>
          </cat>
          <val>
            <numRef>
              <f>'Feature Summary'!$B$10:$B$11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Area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20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FeatureSummary" displayName="FeatureSummary" ref="A16:F37" headerRowCount="1">
  <autoFilter ref="A16:F37"/>
  <tableColumns count="6">
    <tableColumn id="1" name="Area"/>
    <tableColumn id="2" name="Feature"/>
    <tableColumn id="3" name="Primary Milestone"/>
    <tableColumn id="4" name="Items"/>
    <tableColumn id="5" name="Done"/>
    <tableColumn id="6" name="Progres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AppChecklist" displayName="AppChecklist" ref="A5:O37" headerRowCount="1">
  <autoFilter ref="A5:O37"/>
  <tableColumns count="15">
    <tableColumn id="1" name="ID"/>
    <tableColumn id="2" name="Area"/>
    <tableColumn id="3" name="Feature"/>
    <tableColumn id="4" name="Milestone"/>
    <tableColumn id="5" name="Budget USD"/>
    <tableColumn id="6" name="Workstream"/>
    <tableColumn id="7" name="Checklist Item"/>
    <tableColumn id="8" name="Acceptance / Deliverable"/>
    <tableColumn id="9" name="Priority"/>
    <tableColumn id="10" name="Status"/>
    <tableColumn id="11" name="Owner"/>
    <tableColumn id="12" name="Due Date"/>
    <tableColumn id="13" name="Dependencies"/>
    <tableColumn id="14" name="Notes"/>
    <tableColumn id="15" name="Sour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WebBackendChecklist" displayName="WebBackendChecklist" ref="A5:O25" headerRowCount="1">
  <autoFilter ref="A5:O25"/>
  <tableColumns count="15">
    <tableColumn id="1" name="ID"/>
    <tableColumn id="2" name="Area"/>
    <tableColumn id="3" name="Feature"/>
    <tableColumn id="4" name="Milestone"/>
    <tableColumn id="5" name="Budget USD"/>
    <tableColumn id="6" name="Workstream"/>
    <tableColumn id="7" name="Checklist Item"/>
    <tableColumn id="8" name="Acceptance / Deliverable"/>
    <tableColumn id="9" name="Priority"/>
    <tableColumn id="10" name="Status"/>
    <tableColumn id="11" name="Owner"/>
    <tableColumn id="12" name="Due Date"/>
    <tableColumn id="13" name="Dependencies"/>
    <tableColumn id="14" name="Notes"/>
    <tableColumn id="15" name="Sour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ilestoneMap" displayName="MilestoneMap" ref="A5:H8" headerRowCount="1">
  <autoFilter ref="A5:H8"/>
  <tableColumns count="8">
    <tableColumn id="1" name="Milestone"/>
    <tableColumn id="2" name="Budget USD"/>
    <tableColumn id="3" name="Original Theme"/>
    <tableColumn id="4" name="Source Scope"/>
    <tableColumn id="5" name="Source Deliverable"/>
    <tableColumn id="6" name="App Feature Link"/>
    <tableColumn id="7" name="Web/Backend Feature Link"/>
    <tableColumn id="8" name="Technical 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ourceNotes" displayName="SourceNotes" ref="A5:F8" headerRowCount="1">
  <autoFilter ref="A5:F8"/>
  <tableColumns count="6">
    <tableColumn id="1" name="Source"/>
    <tableColumn id="2" name="Path"/>
    <tableColumn id="3" name="Used For"/>
    <tableColumn id="4" name="Key Extracted Scope"/>
    <tableColumn id="5" name="Assumption / Interpretation"/>
    <tableColumn id="6" name="Review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7"/>
  <sheetViews>
    <sheetView showGridLines="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6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30" customWidth="1" min="12" max="12"/>
    <col width="18" customWidth="1" min="13" max="13"/>
    <col width="18" customWidth="1" min="14" max="14"/>
  </cols>
  <sheetData>
    <row r="1" ht="34" customHeight="1">
      <c r="A1" s="1" t="inlineStr">
        <is>
          <t>Walrus Feature-Based Project Checklist</t>
        </is>
      </c>
    </row>
    <row r="2" ht="30" customHeight="1">
      <c r="A2" s="3" t="inlineStr">
        <is>
          <t>Checklist reorganized by App and Web/Admin features while preserving milestone, budget, and source traceability.</t>
        </is>
      </c>
    </row>
    <row r="3" ht="24" customHeight="1"/>
    <row r="4" ht="24" customHeight="1">
      <c r="A4" s="5" t="inlineStr">
        <is>
          <t>Total Checklist Items</t>
        </is>
      </c>
      <c r="B4" s="39" t="n"/>
      <c r="C4" s="40" t="n"/>
      <c r="D4" s="5" t="inlineStr">
        <is>
          <t>Completed Items</t>
        </is>
      </c>
      <c r="E4" s="39" t="n"/>
      <c r="F4" s="40" t="n"/>
      <c r="G4" s="5" t="inlineStr">
        <is>
          <t>Overall Progress</t>
        </is>
      </c>
      <c r="H4" s="39" t="n"/>
      <c r="I4" s="40" t="n"/>
      <c r="J4" s="5" t="inlineStr">
        <is>
          <t>Total Budget</t>
        </is>
      </c>
      <c r="K4" s="39" t="n"/>
      <c r="L4" s="40" t="n"/>
    </row>
    <row r="5" ht="24" customHeight="1">
      <c r="A5" s="10">
        <f>COUNTA('App Checklist'!$A$6:$A$500)+COUNTA('Web Backend Checklist'!$A$6:$A$500)</f>
        <v/>
      </c>
      <c r="B5" s="39" t="n"/>
      <c r="C5" s="40" t="n"/>
      <c r="D5" s="10">
        <f>COUNTIF('App Checklist'!$J$6:$J$500,"Hoàn thành")+COUNTIF('Web Backend Checklist'!$J$6:$J$500,"Hoàn thành")</f>
        <v/>
      </c>
      <c r="E5" s="39" t="n"/>
      <c r="F5" s="40" t="n"/>
      <c r="G5" s="11">
        <f>IFERROR(D5/A5,0)</f>
        <v/>
      </c>
      <c r="H5" s="39" t="n"/>
      <c r="I5" s="40" t="n"/>
      <c r="J5" s="12" t="n">
        <v>700</v>
      </c>
      <c r="K5" s="39" t="n"/>
      <c r="L5" s="40" t="n"/>
    </row>
    <row r="6" ht="24" customHeight="1"/>
    <row r="7" ht="24" customHeight="1"/>
    <row r="8" ht="24" customHeight="1">
      <c r="A8" s="13" t="inlineStr">
        <is>
          <t>Area Summary</t>
        </is>
      </c>
      <c r="G8" s="13" t="inlineStr">
        <is>
          <t>Milestone Summary</t>
        </is>
      </c>
    </row>
    <row r="9" ht="24" customHeight="1">
      <c r="A9" s="14" t="inlineStr">
        <is>
          <t>Area</t>
        </is>
      </c>
      <c r="B9" s="14" t="inlineStr">
        <is>
          <t>Items</t>
        </is>
      </c>
      <c r="C9" s="14" t="inlineStr">
        <is>
          <t>Done</t>
        </is>
      </c>
      <c r="D9" s="14" t="inlineStr">
        <is>
          <t>Progress</t>
        </is>
      </c>
      <c r="E9" s="14" t="inlineStr">
        <is>
          <t>Primary Sheet</t>
        </is>
      </c>
      <c r="G9" s="15" t="inlineStr">
        <is>
          <t>Milestone</t>
        </is>
      </c>
      <c r="H9" s="15" t="inlineStr">
        <is>
          <t>Budget</t>
        </is>
      </c>
      <c r="I9" s="15" t="inlineStr">
        <is>
          <t>Items</t>
        </is>
      </c>
      <c r="J9" s="15" t="inlineStr">
        <is>
          <t>Done</t>
        </is>
      </c>
      <c r="K9" s="15" t="inlineStr">
        <is>
          <t>Progress</t>
        </is>
      </c>
      <c r="L9" s="15" t="inlineStr">
        <is>
          <t>Theme</t>
        </is>
      </c>
    </row>
    <row r="10" ht="24" customHeight="1">
      <c r="A10" s="16" t="inlineStr">
        <is>
          <t>Mobile App</t>
        </is>
      </c>
      <c r="B10" s="17">
        <f>COUNTA('App Checklist'!$A$6:$A$500)</f>
        <v/>
      </c>
      <c r="C10" s="17">
        <f>COUNTIF('App Checklist'!$J$6:$J$500,"Hoàn thành")</f>
        <v/>
      </c>
      <c r="D10" s="18">
        <f>IFERROR(C10/B10,0)</f>
        <v/>
      </c>
      <c r="E10" s="16" t="inlineStr">
        <is>
          <t>App Checklist</t>
        </is>
      </c>
      <c r="G10" s="16" t="inlineStr">
        <is>
          <t>M1</t>
        </is>
      </c>
      <c r="H10" s="19" t="n">
        <v>250</v>
      </c>
      <c r="I10" s="16">
        <f>COUNTIF('App Checklist'!$D$6:$D$500,G10)+COUNTIF('Web Backend Checklist'!$D$6:$D$500,G10)</f>
        <v/>
      </c>
      <c r="J10" s="16">
        <f>COUNTIFS('App Checklist'!$D$6:$D$500,G10,'App Checklist'!$J$6:$J$500,"Hoàn thành")+COUNTIFS('Web Backend Checklist'!$D$6:$D$500,G10,'Web Backend Checklist'!$J$6:$J$500,"Hoàn thành")</f>
        <v/>
      </c>
      <c r="K10" s="20">
        <f>IFERROR(J10/I10,0)</f>
        <v/>
      </c>
      <c r="L10" s="16" t="inlineStr">
        <is>
          <t>Nền tảng và Kết nối lõi</t>
        </is>
      </c>
    </row>
    <row r="11" ht="24" customHeight="1">
      <c r="A11" s="16" t="inlineStr">
        <is>
          <t>Web/Admin + Backend</t>
        </is>
      </c>
      <c r="B11" s="17">
        <f>COUNTA('Web Backend Checklist'!$A$6:$A$500)</f>
        <v/>
      </c>
      <c r="C11" s="17">
        <f>COUNTIF('Web Backend Checklist'!$J$6:$J$500,"Hoàn thành")</f>
        <v/>
      </c>
      <c r="D11" s="18">
        <f>IFERROR(C11/B11,0)</f>
        <v/>
      </c>
      <c r="E11" s="16" t="inlineStr">
        <is>
          <t>Web Backend Checklist</t>
        </is>
      </c>
      <c r="G11" s="16" t="inlineStr">
        <is>
          <t>M2</t>
        </is>
      </c>
      <c r="H11" s="19" t="n">
        <v>280</v>
      </c>
      <c r="I11" s="16">
        <f>COUNTIF('App Checklist'!$D$6:$D$500,G11)+COUNTIF('Web Backend Checklist'!$D$6:$D$500,G11)</f>
        <v/>
      </c>
      <c r="J11" s="16">
        <f>COUNTIFS('App Checklist'!$D$6:$D$500,G11,'App Checklist'!$J$6:$J$500,"Hoàn thành")+COUNTIFS('Web Backend Checklist'!$D$6:$D$500,G11,'Web Backend Checklist'!$J$6:$J$500,"Hoàn thành")</f>
        <v/>
      </c>
      <c r="K11" s="20">
        <f>IFERROR(J11/I11,0)</f>
        <v/>
      </c>
      <c r="L11" s="16" t="inlineStr">
        <is>
          <t>Hoàn thiện UI và Hệ thống quản trị</t>
        </is>
      </c>
    </row>
    <row r="12" ht="24" customHeight="1">
      <c r="G12" s="16" t="inlineStr">
        <is>
          <t>M3</t>
        </is>
      </c>
      <c r="H12" s="19" t="n">
        <v>170</v>
      </c>
      <c r="I12" s="16">
        <f>COUNTIF('App Checklist'!$D$6:$D$500,G12)+COUNTIF('Web Backend Checklist'!$D$6:$D$500,G12)</f>
        <v/>
      </c>
      <c r="J12" s="16">
        <f>COUNTIFS('App Checklist'!$D$6:$D$500,G12,'App Checklist'!$J$6:$J$500,"Hoàn thành")+COUNTIFS('Web Backend Checklist'!$D$6:$D$500,G12,'Web Backend Checklist'!$J$6:$J$500,"Hoàn thành")</f>
        <v/>
      </c>
      <c r="K12" s="20">
        <f>IFERROR(J12/I12,0)</f>
        <v/>
      </c>
      <c r="L12" s="16" t="inlineStr">
        <is>
          <t>Tính năng nâng cao và Bàn giao</t>
        </is>
      </c>
    </row>
    <row r="13" ht="24" customHeight="1"/>
    <row r="14" ht="24" customHeight="1"/>
    <row r="15" ht="24" customHeight="1">
      <c r="A15" s="13" t="inlineStr">
        <is>
          <t>Feature Checklist Summary</t>
        </is>
      </c>
      <c r="H15" s="13" t="inlineStr">
        <is>
          <t>How to Use</t>
        </is>
      </c>
    </row>
    <row r="16" ht="24" customHeight="1">
      <c r="A16" s="21" t="inlineStr">
        <is>
          <t>Area</t>
        </is>
      </c>
      <c r="B16" s="21" t="inlineStr">
        <is>
          <t>Feature</t>
        </is>
      </c>
      <c r="C16" s="21" t="inlineStr">
        <is>
          <t>Primary Milestone</t>
        </is>
      </c>
      <c r="D16" s="21" t="inlineStr">
        <is>
          <t>Items</t>
        </is>
      </c>
      <c r="E16" s="21" t="inlineStr">
        <is>
          <t>Done</t>
        </is>
      </c>
      <c r="F16" s="21" t="inlineStr">
        <is>
          <t>Progress</t>
        </is>
      </c>
      <c r="H16" s="22" t="inlineStr">
        <is>
          <t>1. Work primarily in App Checklist and Web Backend Checklist.</t>
        </is>
      </c>
      <c r="I16" s="39" t="n"/>
      <c r="J16" s="39" t="n"/>
      <c r="K16" s="39" t="n"/>
      <c r="L16" s="39" t="n"/>
      <c r="M16" s="39" t="n"/>
      <c r="N16" s="40" t="n"/>
    </row>
    <row r="17" ht="24" customHeight="1">
      <c r="A17" s="24" t="inlineStr">
        <is>
          <t>Mobile App</t>
        </is>
      </c>
      <c r="B17" s="24" t="inlineStr">
        <is>
          <t>Auth &amp; Account</t>
        </is>
      </c>
      <c r="C17" s="24" t="inlineStr">
        <is>
          <t>M1</t>
        </is>
      </c>
      <c r="D17" s="25">
        <f>COUNTIFS('App Checklist'!$C$6:$C$500,$B17)+COUNTIFS('Web Backend Checklist'!$C$6:$C$500,$B17)</f>
        <v/>
      </c>
      <c r="E17" s="25">
        <f>COUNTIFS('App Checklist'!$C$6:$C$500,$B17,'App Checklist'!$J$6:$J$500,"Hoàn thành")+COUNTIFS('Web Backend Checklist'!$C$6:$C$500,$B17,'Web Backend Checklist'!$J$6:$J$500,"Hoàn thành")</f>
        <v/>
      </c>
      <c r="F17" s="26">
        <f>IFERROR(E17/D17,0)</f>
        <v/>
      </c>
      <c r="H17" s="22" t="inlineStr">
        <is>
          <t>2. Use Status, Owner, Due Date, and Notes to manage delivery.</t>
        </is>
      </c>
      <c r="I17" s="39" t="n"/>
      <c r="J17" s="39" t="n"/>
      <c r="K17" s="39" t="n"/>
      <c r="L17" s="39" t="n"/>
      <c r="M17" s="39" t="n"/>
      <c r="N17" s="40" t="n"/>
    </row>
    <row r="18" ht="24" customHeight="1">
      <c r="A18" s="16" t="inlineStr">
        <is>
          <t>Mobile App</t>
        </is>
      </c>
      <c r="B18" s="16" t="inlineStr">
        <is>
          <t>Auth &amp; Account</t>
        </is>
      </c>
      <c r="C18" s="16" t="inlineStr">
        <is>
          <t>M2</t>
        </is>
      </c>
      <c r="D18" s="17">
        <f>COUNTIFS('App Checklist'!$C$6:$C$500,$B18)+COUNTIFS('Web Backend Checklist'!$C$6:$C$500,$B18)</f>
        <v/>
      </c>
      <c r="E18" s="17">
        <f>COUNTIFS('App Checklist'!$C$6:$C$500,$B18,'App Checklist'!$J$6:$J$500,"Hoàn thành")+COUNTIFS('Web Backend Checklist'!$C$6:$C$500,$B18,'Web Backend Checklist'!$J$6:$J$500,"Hoàn thành")</f>
        <v/>
      </c>
      <c r="F18" s="18">
        <f>IFERROR(E18/D18,0)</f>
        <v/>
      </c>
      <c r="H18" s="22" t="inlineStr">
        <is>
          <t>3. Filter by Feature or Milestone depending on product or payment review.</t>
        </is>
      </c>
      <c r="I18" s="39" t="n"/>
      <c r="J18" s="39" t="n"/>
      <c r="K18" s="39" t="n"/>
      <c r="L18" s="39" t="n"/>
      <c r="M18" s="39" t="n"/>
      <c r="N18" s="40" t="n"/>
    </row>
    <row r="19" ht="24" customHeight="1">
      <c r="A19" s="24" t="inlineStr">
        <is>
          <t>Mobile App</t>
        </is>
      </c>
      <c r="B19" s="24" t="inlineStr">
        <is>
          <t>Tuya Home Setup</t>
        </is>
      </c>
      <c r="C19" s="24" t="inlineStr">
        <is>
          <t>M1</t>
        </is>
      </c>
      <c r="D19" s="25">
        <f>COUNTIFS('App Checklist'!$C$6:$C$500,$B19)+COUNTIFS('Web Backend Checklist'!$C$6:$C$500,$B19)</f>
        <v/>
      </c>
      <c r="E19" s="25">
        <f>COUNTIFS('App Checklist'!$C$6:$C$500,$B19,'App Checklist'!$J$6:$J$500,"Hoàn thành")+COUNTIFS('Web Backend Checklist'!$C$6:$C$500,$B19,'Web Backend Checklist'!$J$6:$J$500,"Hoàn thành")</f>
        <v/>
      </c>
      <c r="F19" s="26">
        <f>IFERROR(E19/D19,0)</f>
        <v/>
      </c>
      <c r="H19" s="22" t="inlineStr">
        <is>
          <t>4. Milestone Map keeps the original source contract structure intact.</t>
        </is>
      </c>
      <c r="I19" s="39" t="n"/>
      <c r="J19" s="39" t="n"/>
      <c r="K19" s="39" t="n"/>
      <c r="L19" s="39" t="n"/>
      <c r="M19" s="39" t="n"/>
      <c r="N19" s="40" t="n"/>
    </row>
    <row r="20" ht="24" customHeight="1">
      <c r="A20" s="16" t="inlineStr">
        <is>
          <t>Mobile App</t>
        </is>
      </c>
      <c r="B20" s="16" t="inlineStr">
        <is>
          <t>Device Pairing</t>
        </is>
      </c>
      <c r="C20" s="16" t="inlineStr">
        <is>
          <t>M1</t>
        </is>
      </c>
      <c r="D20" s="17">
        <f>COUNTIFS('App Checklist'!$C$6:$C$500,$B20)+COUNTIFS('Web Backend Checklist'!$C$6:$C$500,$B20)</f>
        <v/>
      </c>
      <c r="E20" s="17">
        <f>COUNTIFS('App Checklist'!$C$6:$C$500,$B20,'App Checklist'!$J$6:$J$500,"Hoàn thành")+COUNTIFS('Web Backend Checklist'!$C$6:$C$500,$B20,'Web Backend Checklist'!$J$6:$J$500,"Hoàn thành")</f>
        <v/>
      </c>
      <c r="F20" s="18">
        <f>IFERROR(E20/D20,0)</f>
        <v/>
      </c>
    </row>
    <row r="21" ht="24" customHeight="1">
      <c r="A21" s="24" t="inlineStr">
        <is>
          <t>Mobile App</t>
        </is>
      </c>
      <c r="B21" s="24" t="inlineStr">
        <is>
          <t>Core Device Control</t>
        </is>
      </c>
      <c r="C21" s="24" t="inlineStr">
        <is>
          <t>M1</t>
        </is>
      </c>
      <c r="D21" s="25">
        <f>COUNTIFS('App Checklist'!$C$6:$C$500,$B21)+COUNTIFS('Web Backend Checklist'!$C$6:$C$500,$B21)</f>
        <v/>
      </c>
      <c r="E21" s="25">
        <f>COUNTIFS('App Checklist'!$C$6:$C$500,$B21,'App Checklist'!$J$6:$J$500,"Hoàn thành")+COUNTIFS('Web Backend Checklist'!$C$6:$C$500,$B21,'Web Backend Checklist'!$J$6:$J$500,"Hoàn thành")</f>
        <v/>
      </c>
      <c r="F21" s="26">
        <f>IFERROR(E21/D21,0)</f>
        <v/>
      </c>
    </row>
    <row r="22" ht="24" customHeight="1">
      <c r="A22" s="16" t="inlineStr">
        <is>
          <t>Mobile App</t>
        </is>
      </c>
      <c r="B22" s="16" t="inlineStr">
        <is>
          <t>Smart Controls</t>
        </is>
      </c>
      <c r="C22" s="16" t="inlineStr">
        <is>
          <t>M2</t>
        </is>
      </c>
      <c r="D22" s="17">
        <f>COUNTIFS('App Checklist'!$C$6:$C$500,$B22)+COUNTIFS('Web Backend Checklist'!$C$6:$C$500,$B22)</f>
        <v/>
      </c>
      <c r="E22" s="17">
        <f>COUNTIFS('App Checklist'!$C$6:$C$500,$B22,'App Checklist'!$J$6:$J$500,"Hoàn thành")+COUNTIFS('Web Backend Checklist'!$C$6:$C$500,$B22,'Web Backend Checklist'!$J$6:$J$500,"Hoàn thành")</f>
        <v/>
      </c>
      <c r="F22" s="18">
        <f>IFERROR(E22/D22,0)</f>
        <v/>
      </c>
    </row>
    <row r="23" ht="24" customHeight="1">
      <c r="A23" s="24" t="inlineStr">
        <is>
          <t>Mobile App</t>
        </is>
      </c>
      <c r="B23" s="24" t="inlineStr">
        <is>
          <t>Mobile UI/UX</t>
        </is>
      </c>
      <c r="C23" s="24" t="inlineStr">
        <is>
          <t>M2</t>
        </is>
      </c>
      <c r="D23" s="25">
        <f>COUNTIFS('App Checklist'!$C$6:$C$500,$B23)+COUNTIFS('Web Backend Checklist'!$C$6:$C$500,$B23)</f>
        <v/>
      </c>
      <c r="E23" s="25">
        <f>COUNTIFS('App Checklist'!$C$6:$C$500,$B23,'App Checklist'!$J$6:$J$500,"Hoàn thành")+COUNTIFS('Web Backend Checklist'!$C$6:$C$500,$B23,'Web Backend Checklist'!$J$6:$J$500,"Hoàn thành")</f>
        <v/>
      </c>
      <c r="F23" s="26">
        <f>IFERROR(E23/D23,0)</f>
        <v/>
      </c>
    </row>
    <row r="24" ht="24" customHeight="1">
      <c r="A24" s="16" t="inlineStr">
        <is>
          <t>Mobile App</t>
        </is>
      </c>
      <c r="B24" s="16" t="inlineStr">
        <is>
          <t>Home Management</t>
        </is>
      </c>
      <c r="C24" s="16" t="inlineStr">
        <is>
          <t>M2</t>
        </is>
      </c>
      <c r="D24" s="17">
        <f>COUNTIFS('App Checklist'!$C$6:$C$500,$B24)+COUNTIFS('Web Backend Checklist'!$C$6:$C$500,$B24)</f>
        <v/>
      </c>
      <c r="E24" s="17">
        <f>COUNTIFS('App Checklist'!$C$6:$C$500,$B24,'App Checklist'!$J$6:$J$500,"Hoàn thành")+COUNTIFS('Web Backend Checklist'!$C$6:$C$500,$B24,'Web Backend Checklist'!$J$6:$J$500,"Hoàn thành")</f>
        <v/>
      </c>
      <c r="F24" s="18">
        <f>IFERROR(E24/D24,0)</f>
        <v/>
      </c>
    </row>
    <row r="25" ht="24" customHeight="1">
      <c r="A25" s="24" t="inlineStr">
        <is>
          <t>Mobile App</t>
        </is>
      </c>
      <c r="B25" s="24" t="inlineStr">
        <is>
          <t>Into the Cold</t>
        </is>
      </c>
      <c r="C25" s="24" t="inlineStr">
        <is>
          <t>M3</t>
        </is>
      </c>
      <c r="D25" s="25">
        <f>COUNTIFS('App Checklist'!$C$6:$C$500,$B25)+COUNTIFS('Web Backend Checklist'!$C$6:$C$500,$B25)</f>
        <v/>
      </c>
      <c r="E25" s="25">
        <f>COUNTIFS('App Checklist'!$C$6:$C$500,$B25,'App Checklist'!$J$6:$J$500,"Hoàn thành")+COUNTIFS('Web Backend Checklist'!$C$6:$C$500,$B25,'Web Backend Checklist'!$J$6:$J$500,"Hoàn thành")</f>
        <v/>
      </c>
      <c r="F25" s="26">
        <f>IFERROR(E25/D25,0)</f>
        <v/>
      </c>
    </row>
    <row r="26" ht="24" customHeight="1">
      <c r="A26" s="16" t="inlineStr">
        <is>
          <t>Mobile App</t>
        </is>
      </c>
      <c r="B26" s="16" t="inlineStr">
        <is>
          <t>Filter Reminder</t>
        </is>
      </c>
      <c r="C26" s="16" t="inlineStr">
        <is>
          <t>M3</t>
        </is>
      </c>
      <c r="D26" s="17">
        <f>COUNTIFS('App Checklist'!$C$6:$C$500,$B26)+COUNTIFS('Web Backend Checklist'!$C$6:$C$500,$B26)</f>
        <v/>
      </c>
      <c r="E26" s="17">
        <f>COUNTIFS('App Checklist'!$C$6:$C$500,$B26,'App Checklist'!$J$6:$J$500,"Hoàn thành")+COUNTIFS('Web Backend Checklist'!$C$6:$C$500,$B26,'Web Backend Checklist'!$J$6:$J$500,"Hoàn thành")</f>
        <v/>
      </c>
      <c r="F26" s="18">
        <f>IFERROR(E26/D26,0)</f>
        <v/>
      </c>
    </row>
    <row r="27" ht="24" customHeight="1">
      <c r="A27" s="24" t="inlineStr">
        <is>
          <t>Mobile App</t>
        </is>
      </c>
      <c r="B27" s="24" t="inlineStr">
        <is>
          <t>Push Notifications</t>
        </is>
      </c>
      <c r="C27" s="24" t="inlineStr">
        <is>
          <t>M3</t>
        </is>
      </c>
      <c r="D27" s="25">
        <f>COUNTIFS('App Checklist'!$C$6:$C$500,$B27)+COUNTIFS('Web Backend Checklist'!$C$6:$C$500,$B27)</f>
        <v/>
      </c>
      <c r="E27" s="25">
        <f>COUNTIFS('App Checklist'!$C$6:$C$500,$B27,'App Checklist'!$J$6:$J$500,"Hoàn thành")+COUNTIFS('Web Backend Checklist'!$C$6:$C$500,$B27,'Web Backend Checklist'!$J$6:$J$500,"Hoàn thành")</f>
        <v/>
      </c>
      <c r="F27" s="26">
        <f>IFERROR(E27/D27,0)</f>
        <v/>
      </c>
    </row>
    <row r="28" ht="24" customHeight="1">
      <c r="A28" s="16" t="inlineStr">
        <is>
          <t>Mobile App</t>
        </is>
      </c>
      <c r="B28" s="16" t="inlineStr">
        <is>
          <t>QA &amp; Release</t>
        </is>
      </c>
      <c r="C28" s="16" t="inlineStr">
        <is>
          <t>M3</t>
        </is>
      </c>
      <c r="D28" s="17">
        <f>COUNTIFS('App Checklist'!$C$6:$C$500,$B28)+COUNTIFS('Web Backend Checklist'!$C$6:$C$500,$B28)</f>
        <v/>
      </c>
      <c r="E28" s="17">
        <f>COUNTIFS('App Checklist'!$C$6:$C$500,$B28,'App Checklist'!$J$6:$J$500,"Hoàn thành")+COUNTIFS('Web Backend Checklist'!$C$6:$C$500,$B28,'Web Backend Checklist'!$J$6:$J$500,"Hoàn thành")</f>
        <v/>
      </c>
      <c r="F28" s="18">
        <f>IFERROR(E28/D28,0)</f>
        <v/>
      </c>
    </row>
    <row r="29" ht="24" customHeight="1">
      <c r="A29" s="24" t="inlineStr">
        <is>
          <t>Web/Admin + Backend</t>
        </is>
      </c>
      <c r="B29" s="24" t="inlineStr">
        <is>
          <t>Backend Foundation</t>
        </is>
      </c>
      <c r="C29" s="24" t="inlineStr">
        <is>
          <t>M2</t>
        </is>
      </c>
      <c r="D29" s="25">
        <f>COUNTIFS('App Checklist'!$C$6:$C$500,$B29)+COUNTIFS('Web Backend Checklist'!$C$6:$C$500,$B29)</f>
        <v/>
      </c>
      <c r="E29" s="25">
        <f>COUNTIFS('App Checklist'!$C$6:$C$500,$B29,'App Checklist'!$J$6:$J$500,"Hoàn thành")+COUNTIFS('Web Backend Checklist'!$C$6:$C$500,$B29,'Web Backend Checklist'!$J$6:$J$500,"Hoàn thành")</f>
        <v/>
      </c>
      <c r="F29" s="26">
        <f>IFERROR(E29/D29,0)</f>
        <v/>
      </c>
    </row>
    <row r="30" ht="24" customHeight="1">
      <c r="A30" s="16" t="inlineStr">
        <is>
          <t>Web/Admin + Backend</t>
        </is>
      </c>
      <c r="B30" s="16" t="inlineStr">
        <is>
          <t>Device Mapping</t>
        </is>
      </c>
      <c r="C30" s="16" t="inlineStr">
        <is>
          <t>M2</t>
        </is>
      </c>
      <c r="D30" s="17">
        <f>COUNTIFS('App Checklist'!$C$6:$C$500,$B30)+COUNTIFS('Web Backend Checklist'!$C$6:$C$500,$B30)</f>
        <v/>
      </c>
      <c r="E30" s="17">
        <f>COUNTIFS('App Checklist'!$C$6:$C$500,$B30,'App Checklist'!$J$6:$J$500,"Hoàn thành")+COUNTIFS('Web Backend Checklist'!$C$6:$C$500,$B30,'Web Backend Checklist'!$J$6:$J$500,"Hoàn thành")</f>
        <v/>
      </c>
      <c r="F30" s="18">
        <f>IFERROR(E30/D30,0)</f>
        <v/>
      </c>
    </row>
    <row r="31" ht="24" customHeight="1">
      <c r="A31" s="24" t="inlineStr">
        <is>
          <t>Web/Admin + Backend</t>
        </is>
      </c>
      <c r="B31" s="24" t="inlineStr">
        <is>
          <t>Backend APIs</t>
        </is>
      </c>
      <c r="C31" s="24" t="inlineStr">
        <is>
          <t>M2</t>
        </is>
      </c>
      <c r="D31" s="25">
        <f>COUNTIFS('App Checklist'!$C$6:$C$500,$B31)+COUNTIFS('Web Backend Checklist'!$C$6:$C$500,$B31)</f>
        <v/>
      </c>
      <c r="E31" s="25">
        <f>COUNTIFS('App Checklist'!$C$6:$C$500,$B31,'App Checklist'!$J$6:$J$500,"Hoàn thành")+COUNTIFS('Web Backend Checklist'!$C$6:$C$500,$B31,'Web Backend Checklist'!$J$6:$J$500,"Hoàn thành")</f>
        <v/>
      </c>
      <c r="F31" s="26">
        <f>IFERROR(E31/D31,0)</f>
        <v/>
      </c>
    </row>
    <row r="32" ht="24" customHeight="1">
      <c r="A32" s="16" t="inlineStr">
        <is>
          <t>Web/Admin + Backend</t>
        </is>
      </c>
      <c r="B32" s="16" t="inlineStr">
        <is>
          <t>Admin Panel</t>
        </is>
      </c>
      <c r="C32" s="16" t="inlineStr">
        <is>
          <t>M2</t>
        </is>
      </c>
      <c r="D32" s="17">
        <f>COUNTIFS('App Checklist'!$C$6:$C$500,$B32)+COUNTIFS('Web Backend Checklist'!$C$6:$C$500,$B32)</f>
        <v/>
      </c>
      <c r="E32" s="17">
        <f>COUNTIFS('App Checklist'!$C$6:$C$500,$B32,'App Checklist'!$J$6:$J$500,"Hoàn thành")+COUNTIFS('Web Backend Checklist'!$C$6:$C$500,$B32,'Web Backend Checklist'!$J$6:$J$500,"Hoàn thành")</f>
        <v/>
      </c>
      <c r="F32" s="18">
        <f>IFERROR(E32/D32,0)</f>
        <v/>
      </c>
    </row>
    <row r="33" ht="24" customHeight="1">
      <c r="A33" s="24" t="inlineStr">
        <is>
          <t>Web/Admin + Backend</t>
        </is>
      </c>
      <c r="B33" s="24" t="inlineStr">
        <is>
          <t>Home Management Backend</t>
        </is>
      </c>
      <c r="C33" s="24" t="inlineStr">
        <is>
          <t>M2</t>
        </is>
      </c>
      <c r="D33" s="25">
        <f>COUNTIFS('App Checklist'!$C$6:$C$500,$B33)+COUNTIFS('Web Backend Checklist'!$C$6:$C$500,$B33)</f>
        <v/>
      </c>
      <c r="E33" s="25">
        <f>COUNTIFS('App Checklist'!$C$6:$C$500,$B33,'App Checklist'!$J$6:$J$500,"Hoàn thành")+COUNTIFS('Web Backend Checklist'!$C$6:$C$500,$B33,'Web Backend Checklist'!$J$6:$J$500,"Hoàn thành")</f>
        <v/>
      </c>
      <c r="F33" s="26">
        <f>IFERROR(E33/D33,0)</f>
        <v/>
      </c>
    </row>
    <row r="34" ht="24" customHeight="1">
      <c r="A34" s="16" t="inlineStr">
        <is>
          <t>Web/Admin + Backend</t>
        </is>
      </c>
      <c r="B34" s="16" t="inlineStr">
        <is>
          <t>Notifications Backend</t>
        </is>
      </c>
      <c r="C34" s="16" t="inlineStr">
        <is>
          <t>M3</t>
        </is>
      </c>
      <c r="D34" s="17">
        <f>COUNTIFS('App Checklist'!$C$6:$C$500,$B34)+COUNTIFS('Web Backend Checklist'!$C$6:$C$500,$B34)</f>
        <v/>
      </c>
      <c r="E34" s="17">
        <f>COUNTIFS('App Checklist'!$C$6:$C$500,$B34,'App Checklist'!$J$6:$J$500,"Hoàn thành")+COUNTIFS('Web Backend Checklist'!$C$6:$C$500,$B34,'Web Backend Checklist'!$J$6:$J$500,"Hoàn thành")</f>
        <v/>
      </c>
      <c r="F34" s="18">
        <f>IFERROR(E34/D34,0)</f>
        <v/>
      </c>
    </row>
    <row r="35" ht="24" customHeight="1">
      <c r="A35" s="24" t="inlineStr">
        <is>
          <t>Web/Admin + Backend</t>
        </is>
      </c>
      <c r="B35" s="24" t="inlineStr">
        <is>
          <t>Filter Reminder Backend</t>
        </is>
      </c>
      <c r="C35" s="24" t="inlineStr">
        <is>
          <t>M3</t>
        </is>
      </c>
      <c r="D35" s="25">
        <f>COUNTIFS('App Checklist'!$C$6:$C$500,$B35)+COUNTIFS('Web Backend Checklist'!$C$6:$C$500,$B35)</f>
        <v/>
      </c>
      <c r="E35" s="25">
        <f>COUNTIFS('App Checklist'!$C$6:$C$500,$B35,'App Checklist'!$J$6:$J$500,"Hoàn thành")+COUNTIFS('Web Backend Checklist'!$C$6:$C$500,$B35,'Web Backend Checklist'!$J$6:$J$500,"Hoàn thành")</f>
        <v/>
      </c>
      <c r="F35" s="26">
        <f>IFERROR(E35/D35,0)</f>
        <v/>
      </c>
    </row>
    <row r="36" ht="24" customHeight="1">
      <c r="A36" s="16" t="inlineStr">
        <is>
          <t>Web/Admin + Backend</t>
        </is>
      </c>
      <c r="B36" s="16" t="inlineStr">
        <is>
          <t>Operational Delivery</t>
        </is>
      </c>
      <c r="C36" s="16" t="inlineStr">
        <is>
          <t>M3</t>
        </is>
      </c>
      <c r="D36" s="17">
        <f>COUNTIFS('App Checklist'!$C$6:$C$500,$B36)+COUNTIFS('Web Backend Checklist'!$C$6:$C$500,$B36)</f>
        <v/>
      </c>
      <c r="E36" s="17">
        <f>COUNTIFS('App Checklist'!$C$6:$C$500,$B36,'App Checklist'!$J$6:$J$500,"Hoàn thành")+COUNTIFS('Web Backend Checklist'!$C$6:$C$500,$B36,'Web Backend Checklist'!$J$6:$J$500,"Hoàn thành")</f>
        <v/>
      </c>
      <c r="F36" s="18">
        <f>IFERROR(E36/D36,0)</f>
        <v/>
      </c>
    </row>
    <row r="37" ht="24" customHeight="1">
      <c r="A37" s="24" t="inlineStr">
        <is>
          <t>Web/Admin + Backend</t>
        </is>
      </c>
      <c r="B37" s="24" t="inlineStr">
        <is>
          <t>Tuya Operational Setup</t>
        </is>
      </c>
      <c r="C37" s="24" t="inlineStr">
        <is>
          <t>M1</t>
        </is>
      </c>
      <c r="D37" s="25">
        <f>COUNTIFS('App Checklist'!$C$6:$C$500,$B37)+COUNTIFS('Web Backend Checklist'!$C$6:$C$500,$B37)</f>
        <v/>
      </c>
      <c r="E37" s="25">
        <f>COUNTIFS('App Checklist'!$C$6:$C$500,$B37,'App Checklist'!$J$6:$J$500,"Hoàn thành")+COUNTIFS('Web Backend Checklist'!$C$6:$C$500,$B37,'Web Backend Checklist'!$J$6:$J$500,"Hoàn thành")</f>
        <v/>
      </c>
      <c r="F37" s="26">
        <f>IFERROR(E37/D37,0)</f>
        <v/>
      </c>
    </row>
  </sheetData>
  <mergeCells count="18">
    <mergeCell ref="J5:L5"/>
    <mergeCell ref="H19:N19"/>
    <mergeCell ref="D5:F5"/>
    <mergeCell ref="A5:C5"/>
    <mergeCell ref="G5:I5"/>
    <mergeCell ref="D4:F4"/>
    <mergeCell ref="A2:N2"/>
    <mergeCell ref="H17:N17"/>
    <mergeCell ref="G4:I4"/>
    <mergeCell ref="J4:L4"/>
    <mergeCell ref="G8:L8"/>
    <mergeCell ref="A8:E8"/>
    <mergeCell ref="A4:C4"/>
    <mergeCell ref="H16:N16"/>
    <mergeCell ref="A15:F15"/>
    <mergeCell ref="H15:N15"/>
    <mergeCell ref="H18:N18"/>
    <mergeCell ref="A1:N1"/>
  </mergeCells>
  <pageMargins left="0.75" right="0.75" top="1" bottom="1" header="0.5" footer="0.5"/>
  <pageSetup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5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11" customWidth="1" min="4" max="4"/>
    <col width="12" customWidth="1" min="5" max="5"/>
    <col width="18" customWidth="1" min="6" max="6"/>
    <col width="34" customWidth="1" min="7" max="7"/>
    <col width="56" customWidth="1" min="8" max="8"/>
    <col width="13" customWidth="1" min="9" max="9"/>
    <col width="16" customWidth="1" min="10" max="10"/>
    <col width="16" customWidth="1" min="11" max="11"/>
    <col width="14" customWidth="1" min="12" max="12"/>
    <col width="30" customWidth="1" min="13" max="13"/>
    <col width="28" customWidth="1" min="14" max="14"/>
    <col width="22" customWidth="1" min="15" max="15"/>
  </cols>
  <sheetData>
    <row r="1" ht="32" customHeight="1">
      <c r="A1" s="1" t="inlineStr">
        <is>
          <t>App Feature Checklist</t>
        </is>
      </c>
    </row>
    <row r="2" ht="28" customHeight="1">
      <c r="A2" s="3" t="inlineStr">
        <is>
          <t>Feature-first checklist for all mobile app scope. Milestones are kept for delivery/payment tracking.</t>
        </is>
      </c>
    </row>
    <row r="4">
      <c r="A4" s="27" t="inlineStr">
        <is>
          <t>Use filters/dropdowns to track work by feature, milestone, owner, and status.</t>
        </is>
      </c>
    </row>
    <row r="5" ht="30" customHeight="1">
      <c r="A5" s="28" t="inlineStr">
        <is>
          <t>ID</t>
        </is>
      </c>
      <c r="B5" s="28" t="inlineStr">
        <is>
          <t>Area</t>
        </is>
      </c>
      <c r="C5" s="28" t="inlineStr">
        <is>
          <t>Feature</t>
        </is>
      </c>
      <c r="D5" s="28" t="inlineStr">
        <is>
          <t>Milestone</t>
        </is>
      </c>
      <c r="E5" s="28" t="inlineStr">
        <is>
          <t>Budget USD</t>
        </is>
      </c>
      <c r="F5" s="28" t="inlineStr">
        <is>
          <t>Workstream</t>
        </is>
      </c>
      <c r="G5" s="28" t="inlineStr">
        <is>
          <t>Checklist Item</t>
        </is>
      </c>
      <c r="H5" s="28" t="inlineStr">
        <is>
          <t>Acceptance / Deliverable</t>
        </is>
      </c>
      <c r="I5" s="28" t="inlineStr">
        <is>
          <t>Priority</t>
        </is>
      </c>
      <c r="J5" s="28" t="inlineStr">
        <is>
          <t>Status</t>
        </is>
      </c>
      <c r="K5" s="28" t="inlineStr">
        <is>
          <t>Owner</t>
        </is>
      </c>
      <c r="L5" s="28" t="inlineStr">
        <is>
          <t>Due Date</t>
        </is>
      </c>
      <c r="M5" s="28" t="inlineStr">
        <is>
          <t>Dependencies</t>
        </is>
      </c>
      <c r="N5" s="28" t="inlineStr">
        <is>
          <t>Notes</t>
        </is>
      </c>
      <c r="O5" s="28" t="inlineStr">
        <is>
          <t>Source</t>
        </is>
      </c>
    </row>
    <row r="6" ht="42" customHeight="1">
      <c r="A6" s="29" t="inlineStr">
        <is>
          <t>APP-001</t>
        </is>
      </c>
      <c r="B6" s="29" t="inlineStr">
        <is>
          <t>Mobile App</t>
        </is>
      </c>
      <c r="C6" s="29" t="inlineStr">
        <is>
          <t>Auth &amp; Account</t>
        </is>
      </c>
      <c r="D6" s="30" t="inlineStr">
        <is>
          <t>M1</t>
        </is>
      </c>
      <c r="E6" s="31" t="inlineStr">
        <is>
          <t>$250</t>
        </is>
      </c>
      <c r="F6" s="29" t="inlineStr">
        <is>
          <t>Authentication</t>
        </is>
      </c>
      <c r="G6" s="29" t="inlineStr">
        <is>
          <t>Email login flow</t>
        </is>
      </c>
      <c r="H6" s="29" t="inlineStr">
        <is>
          <t>User can sign in with email and reach the app/home setup flow.</t>
        </is>
      </c>
      <c r="I6" s="30" t="inlineStr">
        <is>
          <t>Cao</t>
        </is>
      </c>
      <c r="J6" s="30" t="inlineStr">
        <is>
          <t>Chưa bắt đầu</t>
        </is>
      </c>
      <c r="K6" s="30" t="inlineStr"/>
      <c r="L6" s="32" t="inlineStr"/>
      <c r="M6" s="29" t="inlineStr">
        <is>
          <t>Supabase/Tuya auth configuration</t>
        </is>
      </c>
      <c r="N6" s="29" t="inlineStr"/>
      <c r="O6" s="29" t="inlineStr">
        <is>
          <t>Overview #4; Milestone 1</t>
        </is>
      </c>
    </row>
    <row r="7" ht="42" customHeight="1">
      <c r="A7" s="29" t="inlineStr">
        <is>
          <t>APP-002</t>
        </is>
      </c>
      <c r="B7" s="29" t="inlineStr">
        <is>
          <t>Mobile App</t>
        </is>
      </c>
      <c r="C7" s="29" t="inlineStr">
        <is>
          <t>Auth &amp; Account</t>
        </is>
      </c>
      <c r="D7" s="30" t="inlineStr">
        <is>
          <t>M1</t>
        </is>
      </c>
      <c r="E7" s="31" t="inlineStr">
        <is>
          <t>$250</t>
        </is>
      </c>
      <c r="F7" s="29" t="inlineStr">
        <is>
          <t>Authentication</t>
        </is>
      </c>
      <c r="G7" s="29" t="inlineStr">
        <is>
          <t>Google Sign-In</t>
        </is>
      </c>
      <c r="H7" s="29" t="inlineStr">
        <is>
          <t>Google login is wired into the app and creates/loads the same user profile.</t>
        </is>
      </c>
      <c r="I7" s="30" t="inlineStr">
        <is>
          <t>Trung bình</t>
        </is>
      </c>
      <c r="J7" s="30" t="inlineStr">
        <is>
          <t>Chưa bắt đầu</t>
        </is>
      </c>
      <c r="K7" s="30" t="inlineStr"/>
      <c r="L7" s="32" t="inlineStr"/>
      <c r="M7" s="29" t="inlineStr">
        <is>
          <t>OAuth configuration</t>
        </is>
      </c>
      <c r="N7" s="29" t="inlineStr"/>
      <c r="O7" s="29" t="inlineStr">
        <is>
          <t>Overview #4</t>
        </is>
      </c>
    </row>
    <row r="8" ht="42" customHeight="1">
      <c r="A8" s="29" t="inlineStr">
        <is>
          <t>APP-003</t>
        </is>
      </c>
      <c r="B8" s="29" t="inlineStr">
        <is>
          <t>Mobile App</t>
        </is>
      </c>
      <c r="C8" s="29" t="inlineStr">
        <is>
          <t>Auth &amp; Account</t>
        </is>
      </c>
      <c r="D8" s="30" t="inlineStr">
        <is>
          <t>M1</t>
        </is>
      </c>
      <c r="E8" s="31" t="inlineStr">
        <is>
          <t>$250</t>
        </is>
      </c>
      <c r="F8" s="29" t="inlineStr">
        <is>
          <t>Authentication</t>
        </is>
      </c>
      <c r="G8" s="29" t="inlineStr">
        <is>
          <t>Apple Sign-In</t>
        </is>
      </c>
      <c r="H8" s="29" t="inlineStr">
        <is>
          <t>Apple login works on iOS and maps to the same account/profile model.</t>
        </is>
      </c>
      <c r="I8" s="30" t="inlineStr">
        <is>
          <t>Trung bình</t>
        </is>
      </c>
      <c r="J8" s="30" t="inlineStr">
        <is>
          <t>Chưa bắt đầu</t>
        </is>
      </c>
      <c r="K8" s="30" t="inlineStr"/>
      <c r="L8" s="32" t="inlineStr"/>
      <c r="M8" s="29" t="inlineStr">
        <is>
          <t>Apple developer configuration</t>
        </is>
      </c>
      <c r="N8" s="29" t="inlineStr"/>
      <c r="O8" s="29" t="inlineStr">
        <is>
          <t>Overview #4</t>
        </is>
      </c>
    </row>
    <row r="9" ht="42" customHeight="1">
      <c r="A9" s="29" t="inlineStr">
        <is>
          <t>APP-004</t>
        </is>
      </c>
      <c r="B9" s="29" t="inlineStr">
        <is>
          <t>Mobile App</t>
        </is>
      </c>
      <c r="C9" s="29" t="inlineStr">
        <is>
          <t>Auth &amp; Account</t>
        </is>
      </c>
      <c r="D9" s="30" t="inlineStr">
        <is>
          <t>M2</t>
        </is>
      </c>
      <c r="E9" s="31" t="inlineStr">
        <is>
          <t>$280</t>
        </is>
      </c>
      <c r="F9" s="29" t="inlineStr">
        <is>
          <t>Profile</t>
        </is>
      </c>
      <c r="G9" s="29" t="inlineStr">
        <is>
          <t>Account profile screen</t>
        </is>
      </c>
      <c r="H9" s="29" t="inlineStr">
        <is>
          <t>User can view personal account information from the mobile app.</t>
        </is>
      </c>
      <c r="I9" s="30" t="inlineStr">
        <is>
          <t>Cao</t>
        </is>
      </c>
      <c r="J9" s="30" t="inlineStr">
        <is>
          <t>Chưa bắt đầu</t>
        </is>
      </c>
      <c r="K9" s="30" t="inlineStr"/>
      <c r="L9" s="32" t="inlineStr"/>
      <c r="M9" s="29" t="inlineStr">
        <is>
          <t>Backend user profile table</t>
        </is>
      </c>
      <c r="N9" s="29" t="inlineStr"/>
      <c r="O9" s="29" t="inlineStr">
        <is>
          <t>Milestone 2</t>
        </is>
      </c>
    </row>
    <row r="10" ht="42" customHeight="1">
      <c r="A10" s="29" t="inlineStr">
        <is>
          <t>APP-005</t>
        </is>
      </c>
      <c r="B10" s="29" t="inlineStr">
        <is>
          <t>Mobile App</t>
        </is>
      </c>
      <c r="C10" s="29" t="inlineStr">
        <is>
          <t>Auth &amp; Account</t>
        </is>
      </c>
      <c r="D10" s="30" t="inlineStr">
        <is>
          <t>M2</t>
        </is>
      </c>
      <c r="E10" s="31" t="inlineStr">
        <is>
          <t>$280</t>
        </is>
      </c>
      <c r="F10" s="29" t="inlineStr">
        <is>
          <t>Profile</t>
        </is>
      </c>
      <c r="G10" s="29" t="inlineStr">
        <is>
          <t>Editable profile fields</t>
        </is>
      </c>
      <c r="H10" s="29" t="inlineStr">
        <is>
          <t>Supported user profile fields can be updated and synced to backend/auth provider.</t>
        </is>
      </c>
      <c r="I10" s="30" t="inlineStr">
        <is>
          <t>Cao</t>
        </is>
      </c>
      <c r="J10" s="30" t="inlineStr">
        <is>
          <t>Chưa bắt đầu</t>
        </is>
      </c>
      <c r="K10" s="30" t="inlineStr"/>
      <c r="L10" s="32" t="inlineStr"/>
      <c r="M10" s="29" t="inlineStr">
        <is>
          <t>Backend profile update API</t>
        </is>
      </c>
      <c r="N10" s="29" t="inlineStr"/>
      <c r="O10" s="29" t="inlineStr">
        <is>
          <t>Milestone 2</t>
        </is>
      </c>
    </row>
    <row r="11" ht="42" customHeight="1">
      <c r="A11" s="29" t="inlineStr">
        <is>
          <t>APP-006</t>
        </is>
      </c>
      <c r="B11" s="29" t="inlineStr">
        <is>
          <t>Mobile App</t>
        </is>
      </c>
      <c r="C11" s="29" t="inlineStr">
        <is>
          <t>Tuya Home Setup</t>
        </is>
      </c>
      <c r="D11" s="30" t="inlineStr">
        <is>
          <t>M1</t>
        </is>
      </c>
      <c r="E11" s="31" t="inlineStr">
        <is>
          <t>$250</t>
        </is>
      </c>
      <c r="F11" s="29" t="inlineStr">
        <is>
          <t>Tuya SDK</t>
        </is>
      </c>
      <c r="G11" s="29" t="inlineStr">
        <is>
          <t>Home setup flow</t>
        </is>
      </c>
      <c r="H11" s="29" t="inlineStr">
        <is>
          <t>User can create/select Tuya Home before device pairing.</t>
        </is>
      </c>
      <c r="I11" s="30" t="inlineStr">
        <is>
          <t>Cao</t>
        </is>
      </c>
      <c r="J11" s="30" t="inlineStr">
        <is>
          <t>Chưa bắt đầu</t>
        </is>
      </c>
      <c r="K11" s="30" t="inlineStr"/>
      <c r="L11" s="32" t="inlineStr"/>
      <c r="M11" s="29" t="inlineStr">
        <is>
          <t>Tuya SDK initialized</t>
        </is>
      </c>
      <c r="N11" s="29" t="inlineStr"/>
      <c r="O11" s="29" t="inlineStr">
        <is>
          <t>Milestone 1</t>
        </is>
      </c>
    </row>
    <row r="12" ht="42" customHeight="1">
      <c r="A12" s="29" t="inlineStr">
        <is>
          <t>APP-007</t>
        </is>
      </c>
      <c r="B12" s="29" t="inlineStr">
        <is>
          <t>Mobile App</t>
        </is>
      </c>
      <c r="C12" s="29" t="inlineStr">
        <is>
          <t>Tuya Home Setup</t>
        </is>
      </c>
      <c r="D12" s="30" t="inlineStr">
        <is>
          <t>M1</t>
        </is>
      </c>
      <c r="E12" s="31" t="inlineStr">
        <is>
          <t>$250</t>
        </is>
      </c>
      <c r="F12" s="29" t="inlineStr">
        <is>
          <t>Tuya SDK</t>
        </is>
      </c>
      <c r="G12" s="29" t="inlineStr">
        <is>
          <t>Owner permission validation</t>
        </is>
      </c>
      <c r="H12" s="29" t="inlineStr">
        <is>
          <t>App surfaces clear error if the guest Tuya account is not Owner of the Home.</t>
        </is>
      </c>
      <c r="I12" s="30" t="inlineStr">
        <is>
          <t>Cao</t>
        </is>
      </c>
      <c r="J12" s="30" t="inlineStr">
        <is>
          <t>Chưa bắt đầu</t>
        </is>
      </c>
      <c r="K12" s="30" t="inlineStr"/>
      <c r="L12" s="32" t="inlineStr"/>
      <c r="M12" s="29" t="inlineStr">
        <is>
          <t>Tuya account access</t>
        </is>
      </c>
      <c r="N12" s="29" t="inlineStr"/>
      <c r="O12" s="29" t="inlineStr">
        <is>
          <t>Technical notes</t>
        </is>
      </c>
    </row>
    <row r="13" ht="42" customHeight="1">
      <c r="A13" s="29" t="inlineStr">
        <is>
          <t>APP-008</t>
        </is>
      </c>
      <c r="B13" s="29" t="inlineStr">
        <is>
          <t>Mobile App</t>
        </is>
      </c>
      <c r="C13" s="29" t="inlineStr">
        <is>
          <t>Tuya Home Setup</t>
        </is>
      </c>
      <c r="D13" s="30" t="inlineStr">
        <is>
          <t>M1</t>
        </is>
      </c>
      <c r="E13" s="31" t="inlineStr">
        <is>
          <t>$250</t>
        </is>
      </c>
      <c r="F13" s="29" t="inlineStr">
        <is>
          <t>Tuya SDK</t>
        </is>
      </c>
      <c r="G13" s="29" t="inlineStr">
        <is>
          <t>Data center compatibility guard</t>
        </is>
      </c>
      <c r="H13" s="29" t="inlineStr">
        <is>
          <t>App configuration matches Tuya Cloud Project data center to prevent missing devices.</t>
        </is>
      </c>
      <c r="I13" s="30" t="inlineStr">
        <is>
          <t>Cao</t>
        </is>
      </c>
      <c r="J13" s="30" t="inlineStr">
        <is>
          <t>Chưa bắt đầu</t>
        </is>
      </c>
      <c r="K13" s="30" t="inlineStr"/>
      <c r="L13" s="32" t="inlineStr"/>
      <c r="M13" s="29" t="inlineStr">
        <is>
          <t>Tuya Cloud Project region</t>
        </is>
      </c>
      <c r="N13" s="29" t="inlineStr"/>
      <c r="O13" s="29" t="inlineStr">
        <is>
          <t>Technical notes</t>
        </is>
      </c>
    </row>
    <row r="14" ht="42" customHeight="1">
      <c r="A14" s="29" t="inlineStr">
        <is>
          <t>APP-009</t>
        </is>
      </c>
      <c r="B14" s="29" t="inlineStr">
        <is>
          <t>Mobile App</t>
        </is>
      </c>
      <c r="C14" s="29" t="inlineStr">
        <is>
          <t>Device Pairing</t>
        </is>
      </c>
      <c r="D14" s="30" t="inlineStr">
        <is>
          <t>M1</t>
        </is>
      </c>
      <c r="E14" s="31" t="inlineStr">
        <is>
          <t>$250</t>
        </is>
      </c>
      <c r="F14" s="29" t="inlineStr">
        <is>
          <t>Pairing</t>
        </is>
      </c>
      <c r="G14" s="29" t="inlineStr">
        <is>
          <t>WiFi pairing flow</t>
        </is>
      </c>
      <c r="H14" s="29" t="inlineStr">
        <is>
          <t>User can enter/select WiFi network, enter password, and start pairing in-app.</t>
        </is>
      </c>
      <c r="I14" s="30" t="inlineStr">
        <is>
          <t>Cao</t>
        </is>
      </c>
      <c r="J14" s="30" t="inlineStr">
        <is>
          <t>Chưa bắt đầu</t>
        </is>
      </c>
      <c r="K14" s="30" t="inlineStr"/>
      <c r="L14" s="32" t="inlineStr"/>
      <c r="M14" s="29" t="inlineStr">
        <is>
          <t>Location/WiFi permissions where applicable</t>
        </is>
      </c>
      <c r="N14" s="29" t="inlineStr"/>
      <c r="O14" s="29" t="inlineStr">
        <is>
          <t>Overview #4; Milestone 1</t>
        </is>
      </c>
    </row>
    <row r="15" ht="42" customHeight="1">
      <c r="A15" s="29" t="inlineStr">
        <is>
          <t>APP-010</t>
        </is>
      </c>
      <c r="B15" s="29" t="inlineStr">
        <is>
          <t>Mobile App</t>
        </is>
      </c>
      <c r="C15" s="29" t="inlineStr">
        <is>
          <t>Device Pairing</t>
        </is>
      </c>
      <c r="D15" s="30" t="inlineStr">
        <is>
          <t>M1</t>
        </is>
      </c>
      <c r="E15" s="31" t="inlineStr">
        <is>
          <t>$250</t>
        </is>
      </c>
      <c r="F15" s="29" t="inlineStr">
        <is>
          <t>Pairing</t>
        </is>
      </c>
      <c r="G15" s="29" t="inlineStr">
        <is>
          <t>AP mode pairing flow</t>
        </is>
      </c>
      <c r="H15" s="29" t="inlineStr">
        <is>
          <t>User can pair devices that require AP mode and receives clear mode instructions.</t>
        </is>
      </c>
      <c r="I15" s="30" t="inlineStr">
        <is>
          <t>Cao</t>
        </is>
      </c>
      <c r="J15" s="30" t="inlineStr">
        <is>
          <t>Chưa bắt đầu</t>
        </is>
      </c>
      <c r="K15" s="30" t="inlineStr"/>
      <c r="L15" s="32" t="inlineStr"/>
      <c r="M15" s="29" t="inlineStr">
        <is>
          <t>Tuya SDK AP pairing support</t>
        </is>
      </c>
      <c r="N15" s="29" t="inlineStr"/>
      <c r="O15" s="29" t="inlineStr">
        <is>
          <t>Milestone 1</t>
        </is>
      </c>
    </row>
    <row r="16" ht="42" customHeight="1">
      <c r="A16" s="29" t="inlineStr">
        <is>
          <t>APP-011</t>
        </is>
      </c>
      <c r="B16" s="29" t="inlineStr">
        <is>
          <t>Mobile App</t>
        </is>
      </c>
      <c r="C16" s="29" t="inlineStr">
        <is>
          <t>Device Pairing</t>
        </is>
      </c>
      <c r="D16" s="30" t="inlineStr">
        <is>
          <t>M1</t>
        </is>
      </c>
      <c r="E16" s="31" t="inlineStr">
        <is>
          <t>$250</t>
        </is>
      </c>
      <c r="F16" s="29" t="inlineStr">
        <is>
          <t>Pairing</t>
        </is>
      </c>
      <c r="G16" s="29" t="inlineStr">
        <is>
          <t>Bluetooth discovery/pairing</t>
        </is>
      </c>
      <c r="H16" s="29" t="inlineStr">
        <is>
          <t>App can discover and connect supported Bluetooth devices through Tuya SDK.</t>
        </is>
      </c>
      <c r="I16" s="30" t="inlineStr">
        <is>
          <t>Cao</t>
        </is>
      </c>
      <c r="J16" s="30" t="inlineStr">
        <is>
          <t>Chưa bắt đầu</t>
        </is>
      </c>
      <c r="K16" s="30" t="inlineStr"/>
      <c r="L16" s="32" t="inlineStr"/>
      <c r="M16" s="29" t="inlineStr">
        <is>
          <t>Bluetooth permission/configuration</t>
        </is>
      </c>
      <c r="N16" s="29" t="inlineStr"/>
      <c r="O16" s="29" t="inlineStr">
        <is>
          <t>Overview #3-4; Milestone 1</t>
        </is>
      </c>
    </row>
    <row r="17" ht="42" customHeight="1">
      <c r="A17" s="29" t="inlineStr">
        <is>
          <t>APP-012</t>
        </is>
      </c>
      <c r="B17" s="29" t="inlineStr">
        <is>
          <t>Mobile App</t>
        </is>
      </c>
      <c r="C17" s="29" t="inlineStr">
        <is>
          <t>Device Pairing</t>
        </is>
      </c>
      <c r="D17" s="30" t="inlineStr">
        <is>
          <t>M1</t>
        </is>
      </c>
      <c r="E17" s="31" t="inlineStr">
        <is>
          <t>$250</t>
        </is>
      </c>
      <c r="F17" s="29" t="inlineStr">
        <is>
          <t>Pairing UX</t>
        </is>
      </c>
      <c r="G17" s="29" t="inlineStr">
        <is>
          <t>Pairing progress screen</t>
        </is>
      </c>
      <c r="H17" s="29" t="inlineStr">
        <is>
          <t>Pairing enters a dedicated searching/progress screen with timeout and cancel behavior.</t>
        </is>
      </c>
      <c r="I17" s="30" t="inlineStr">
        <is>
          <t>Cao</t>
        </is>
      </c>
      <c r="J17" s="30" t="inlineStr">
        <is>
          <t>Chưa bắt đầu</t>
        </is>
      </c>
      <c r="K17" s="30" t="inlineStr"/>
      <c r="L17" s="32" t="inlineStr"/>
      <c r="M17" s="29" t="inlineStr">
        <is>
          <t>Pairing start event</t>
        </is>
      </c>
      <c r="N17" s="29" t="inlineStr"/>
      <c r="O17" s="29" t="inlineStr">
        <is>
          <t>Milestone 1 deliverable</t>
        </is>
      </c>
    </row>
    <row r="18" ht="42" customHeight="1">
      <c r="A18" s="29" t="inlineStr">
        <is>
          <t>APP-013</t>
        </is>
      </c>
      <c r="B18" s="29" t="inlineStr">
        <is>
          <t>Mobile App</t>
        </is>
      </c>
      <c r="C18" s="29" t="inlineStr">
        <is>
          <t>Device Pairing</t>
        </is>
      </c>
      <c r="D18" s="30" t="inlineStr">
        <is>
          <t>M1</t>
        </is>
      </c>
      <c r="E18" s="31" t="inlineStr">
        <is>
          <t>$250</t>
        </is>
      </c>
      <c r="F18" s="29" t="inlineStr">
        <is>
          <t>Pairing</t>
        </is>
      </c>
      <c r="G18" s="29" t="inlineStr">
        <is>
          <t>Successful bind to Home</t>
        </is>
      </c>
      <c r="H18" s="29" t="inlineStr">
        <is>
          <t>Successfully paired device appears under the selected Tuya Home in the app.</t>
        </is>
      </c>
      <c r="I18" s="30" t="inlineStr">
        <is>
          <t>Cao</t>
        </is>
      </c>
      <c r="J18" s="30" t="inlineStr">
        <is>
          <t>Chưa bắt đầu</t>
        </is>
      </c>
      <c r="K18" s="30" t="inlineStr"/>
      <c r="L18" s="32" t="inlineStr"/>
      <c r="M18" s="29" t="inlineStr">
        <is>
          <t>Tuya home setup complete</t>
        </is>
      </c>
      <c r="N18" s="29" t="inlineStr"/>
      <c r="O18" s="29" t="inlineStr">
        <is>
          <t>Milestone 1</t>
        </is>
      </c>
    </row>
    <row r="19" ht="42" customHeight="1">
      <c r="A19" s="29" t="inlineStr">
        <is>
          <t>APP-014</t>
        </is>
      </c>
      <c r="B19" s="29" t="inlineStr">
        <is>
          <t>Mobile App</t>
        </is>
      </c>
      <c r="C19" s="29" t="inlineStr">
        <is>
          <t>Core Device Control</t>
        </is>
      </c>
      <c r="D19" s="30" t="inlineStr">
        <is>
          <t>M1</t>
        </is>
      </c>
      <c r="E19" s="31" t="inlineStr">
        <is>
          <t>$250</t>
        </is>
      </c>
      <c r="F19" s="29" t="inlineStr">
        <is>
          <t>Dashboard</t>
        </is>
      </c>
      <c r="G19" s="29" t="inlineStr">
        <is>
          <t>Current temperature display</t>
        </is>
      </c>
      <c r="H19" s="29" t="inlineStr">
        <is>
          <t>Dashboard shows the real-time current water/device temperature from the device.</t>
        </is>
      </c>
      <c r="I19" s="30" t="inlineStr">
        <is>
          <t>Cao</t>
        </is>
      </c>
      <c r="J19" s="30" t="inlineStr">
        <is>
          <t>Chưa bắt đầu</t>
        </is>
      </c>
      <c r="K19" s="30" t="inlineStr"/>
      <c r="L19" s="32" t="inlineStr"/>
      <c r="M19" s="29" t="inlineStr">
        <is>
          <t>Device paired and online</t>
        </is>
      </c>
      <c r="N19" s="29" t="inlineStr"/>
      <c r="O19" s="29" t="inlineStr">
        <is>
          <t>Overview #4; Milestone 1</t>
        </is>
      </c>
    </row>
    <row r="20" ht="42" customHeight="1">
      <c r="A20" s="29" t="inlineStr">
        <is>
          <t>APP-015</t>
        </is>
      </c>
      <c r="B20" s="29" t="inlineStr">
        <is>
          <t>Mobile App</t>
        </is>
      </c>
      <c r="C20" s="29" t="inlineStr">
        <is>
          <t>Core Device Control</t>
        </is>
      </c>
      <c r="D20" s="30" t="inlineStr">
        <is>
          <t>M1</t>
        </is>
      </c>
      <c r="E20" s="31" t="inlineStr">
        <is>
          <t>$250</t>
        </is>
      </c>
      <c r="F20" s="29" t="inlineStr">
        <is>
          <t>Dashboard</t>
        </is>
      </c>
      <c r="G20" s="29" t="inlineStr">
        <is>
          <t>Target temperature control</t>
        </is>
      </c>
      <c r="H20" s="29" t="inlineStr">
        <is>
          <t>User can change target temperature and command is sent to the real device.</t>
        </is>
      </c>
      <c r="I20" s="30" t="inlineStr">
        <is>
          <t>Cao</t>
        </is>
      </c>
      <c r="J20" s="30" t="inlineStr">
        <is>
          <t>Chưa bắt đầu</t>
        </is>
      </c>
      <c r="K20" s="30" t="inlineStr"/>
      <c r="L20" s="32" t="inlineStr"/>
      <c r="M20" s="29" t="inlineStr">
        <is>
          <t>Device DP mapping</t>
        </is>
      </c>
      <c r="N20" s="29" t="inlineStr"/>
      <c r="O20" s="29" t="inlineStr">
        <is>
          <t>Milestone 1</t>
        </is>
      </c>
    </row>
    <row r="21" ht="42" customHeight="1">
      <c r="A21" s="29" t="inlineStr">
        <is>
          <t>APP-016</t>
        </is>
      </c>
      <c r="B21" s="29" t="inlineStr">
        <is>
          <t>Mobile App</t>
        </is>
      </c>
      <c r="C21" s="29" t="inlineStr">
        <is>
          <t>Core Device Control</t>
        </is>
      </c>
      <c r="D21" s="30" t="inlineStr">
        <is>
          <t>M1</t>
        </is>
      </c>
      <c r="E21" s="31" t="inlineStr">
        <is>
          <t>$250</t>
        </is>
      </c>
      <c r="F21" s="29" t="inlineStr">
        <is>
          <t>Device State</t>
        </is>
      </c>
      <c r="G21" s="29" t="inlineStr">
        <is>
          <t>Command feedback and errors</t>
        </is>
      </c>
      <c r="H21" s="29" t="inlineStr">
        <is>
          <t>App shows loading/success/failure states for temperature control commands.</t>
        </is>
      </c>
      <c r="I21" s="30" t="inlineStr">
        <is>
          <t>Cao</t>
        </is>
      </c>
      <c r="J21" s="30" t="inlineStr">
        <is>
          <t>Chưa bắt đầu</t>
        </is>
      </c>
      <c r="K21" s="30" t="inlineStr"/>
      <c r="L21" s="32" t="inlineStr"/>
      <c r="M21" s="29" t="inlineStr">
        <is>
          <t>Tuya command callbacks</t>
        </is>
      </c>
      <c r="N21" s="29" t="inlineStr"/>
      <c r="O21" s="29" t="inlineStr">
        <is>
          <t>Milestone 1 deliverable</t>
        </is>
      </c>
    </row>
    <row r="22" ht="42" customHeight="1">
      <c r="A22" s="29" t="inlineStr">
        <is>
          <t>APP-017</t>
        </is>
      </c>
      <c r="B22" s="29" t="inlineStr">
        <is>
          <t>Mobile App</t>
        </is>
      </c>
      <c r="C22" s="29" t="inlineStr">
        <is>
          <t>Smart Controls</t>
        </is>
      </c>
      <c r="D22" s="30" t="inlineStr">
        <is>
          <t>M2</t>
        </is>
      </c>
      <c r="E22" s="31" t="inlineStr">
        <is>
          <t>$280</t>
        </is>
      </c>
      <c r="F22" s="29" t="inlineStr">
        <is>
          <t>Device Control</t>
        </is>
      </c>
      <c r="G22" s="29" t="inlineStr">
        <is>
          <t>Light control</t>
        </is>
      </c>
      <c r="H22" s="29" t="inlineStr">
        <is>
          <t>User can toggle/control device lighting from the custom UI.</t>
        </is>
      </c>
      <c r="I22" s="30" t="inlineStr">
        <is>
          <t>Trung bình</t>
        </is>
      </c>
      <c r="J22" s="30" t="inlineStr">
        <is>
          <t>Chưa bắt đầu</t>
        </is>
      </c>
      <c r="K22" s="30" t="inlineStr"/>
      <c r="L22" s="32" t="inlineStr"/>
      <c r="M22" s="29" t="inlineStr">
        <is>
          <t>Device DP mapping</t>
        </is>
      </c>
      <c r="N22" s="29" t="inlineStr"/>
      <c r="O22" s="29" t="inlineStr">
        <is>
          <t>Overview #4</t>
        </is>
      </c>
    </row>
    <row r="23" ht="42" customHeight="1">
      <c r="A23" s="29" t="inlineStr">
        <is>
          <t>APP-018</t>
        </is>
      </c>
      <c r="B23" s="29" t="inlineStr">
        <is>
          <t>Mobile App</t>
        </is>
      </c>
      <c r="C23" s="29" t="inlineStr">
        <is>
          <t>Smart Controls</t>
        </is>
      </c>
      <c r="D23" s="30" t="inlineStr">
        <is>
          <t>M2</t>
        </is>
      </c>
      <c r="E23" s="31" t="inlineStr">
        <is>
          <t>$280</t>
        </is>
      </c>
      <c r="F23" s="29" t="inlineStr">
        <is>
          <t>Device Control</t>
        </is>
      </c>
      <c r="G23" s="29" t="inlineStr">
        <is>
          <t>UV sterilization control</t>
        </is>
      </c>
      <c r="H23" s="29" t="inlineStr">
        <is>
          <t>User can trigger/monitor UV sterilization controls from the app.</t>
        </is>
      </c>
      <c r="I23" s="30" t="inlineStr">
        <is>
          <t>Trung bình</t>
        </is>
      </c>
      <c r="J23" s="30" t="inlineStr">
        <is>
          <t>Chưa bắt đầu</t>
        </is>
      </c>
      <c r="K23" s="30" t="inlineStr"/>
      <c r="L23" s="32" t="inlineStr"/>
      <c r="M23" s="29" t="inlineStr">
        <is>
          <t>Device DP mapping</t>
        </is>
      </c>
      <c r="N23" s="29" t="inlineStr"/>
      <c r="O23" s="29" t="inlineStr">
        <is>
          <t>Overview #4</t>
        </is>
      </c>
    </row>
    <row r="24" ht="42" customHeight="1">
      <c r="A24" s="29" t="inlineStr">
        <is>
          <t>APP-019</t>
        </is>
      </c>
      <c r="B24" s="29" t="inlineStr">
        <is>
          <t>Mobile App</t>
        </is>
      </c>
      <c r="C24" s="29" t="inlineStr">
        <is>
          <t>Smart Controls</t>
        </is>
      </c>
      <c r="D24" s="30" t="inlineStr">
        <is>
          <t>M2</t>
        </is>
      </c>
      <c r="E24" s="31" t="inlineStr">
        <is>
          <t>$280</t>
        </is>
      </c>
      <c r="F24" s="29" t="inlineStr">
        <is>
          <t>Device Control</t>
        </is>
      </c>
      <c r="G24" s="29" t="inlineStr">
        <is>
          <t>Defrost control</t>
        </is>
      </c>
      <c r="H24" s="29" t="inlineStr">
        <is>
          <t>User can trigger/monitor defrost behavior from the app.</t>
        </is>
      </c>
      <c r="I24" s="30" t="inlineStr">
        <is>
          <t>Trung bình</t>
        </is>
      </c>
      <c r="J24" s="30" t="inlineStr">
        <is>
          <t>Chưa bắt đầu</t>
        </is>
      </c>
      <c r="K24" s="30" t="inlineStr"/>
      <c r="L24" s="32" t="inlineStr"/>
      <c r="M24" s="29" t="inlineStr">
        <is>
          <t>Device DP mapping</t>
        </is>
      </c>
      <c r="N24" s="29" t="inlineStr"/>
      <c r="O24" s="29" t="inlineStr">
        <is>
          <t>Overview #4</t>
        </is>
      </c>
    </row>
    <row r="25" ht="42" customHeight="1">
      <c r="A25" s="29" t="inlineStr">
        <is>
          <t>APP-020</t>
        </is>
      </c>
      <c r="B25" s="29" t="inlineStr">
        <is>
          <t>Mobile App</t>
        </is>
      </c>
      <c r="C25" s="29" t="inlineStr">
        <is>
          <t>Mobile UI/UX</t>
        </is>
      </c>
      <c r="D25" s="30" t="inlineStr">
        <is>
          <t>M2</t>
        </is>
      </c>
      <c r="E25" s="31" t="inlineStr">
        <is>
          <t>$280</t>
        </is>
      </c>
      <c r="F25" s="29" t="inlineStr">
        <is>
          <t>UI</t>
        </is>
      </c>
      <c r="G25" s="29" t="inlineStr">
        <is>
          <t>Complete designed mobile screens</t>
        </is>
      </c>
      <c r="H25" s="29" t="inlineStr">
        <is>
          <t>All required mobile screens match the design and core flows are connected.</t>
        </is>
      </c>
      <c r="I25" s="30" t="inlineStr">
        <is>
          <t>Cao</t>
        </is>
      </c>
      <c r="J25" s="30" t="inlineStr">
        <is>
          <t>Chưa bắt đầu</t>
        </is>
      </c>
      <c r="K25" s="30" t="inlineStr"/>
      <c r="L25" s="32" t="inlineStr"/>
      <c r="M25" s="29" t="inlineStr">
        <is>
          <t>Design reference</t>
        </is>
      </c>
      <c r="N25" s="29" t="inlineStr"/>
      <c r="O25" s="29" t="inlineStr">
        <is>
          <t>Milestone 2</t>
        </is>
      </c>
    </row>
    <row r="26" ht="42" customHeight="1">
      <c r="A26" s="29" t="inlineStr">
        <is>
          <t>APP-021</t>
        </is>
      </c>
      <c r="B26" s="29" t="inlineStr">
        <is>
          <t>Mobile App</t>
        </is>
      </c>
      <c r="C26" s="29" t="inlineStr">
        <is>
          <t>Mobile UI/UX</t>
        </is>
      </c>
      <c r="D26" s="30" t="inlineStr">
        <is>
          <t>M2</t>
        </is>
      </c>
      <c r="E26" s="31" t="inlineStr">
        <is>
          <t>$280</t>
        </is>
      </c>
      <c r="F26" s="29" t="inlineStr">
        <is>
          <t>UX</t>
        </is>
      </c>
      <c r="G26" s="29" t="inlineStr">
        <is>
          <t>Mobile responsiveness and usability</t>
        </is>
      </c>
      <c r="H26" s="29" t="inlineStr">
        <is>
          <t>UI is optimized for common iOS/Android viewport sizes and touch interaction.</t>
        </is>
      </c>
      <c r="I26" s="30" t="inlineStr">
        <is>
          <t>Cao</t>
        </is>
      </c>
      <c r="J26" s="30" t="inlineStr">
        <is>
          <t>Chưa bắt đầu</t>
        </is>
      </c>
      <c r="K26" s="30" t="inlineStr"/>
      <c r="L26" s="32" t="inlineStr"/>
      <c r="M26" s="29" t="inlineStr">
        <is>
          <t>Completed screens</t>
        </is>
      </c>
      <c r="N26" s="29" t="inlineStr"/>
      <c r="O26" s="29" t="inlineStr">
        <is>
          <t>Milestone 2</t>
        </is>
      </c>
    </row>
    <row r="27" ht="42" customHeight="1">
      <c r="A27" s="29" t="inlineStr">
        <is>
          <t>APP-022</t>
        </is>
      </c>
      <c r="B27" s="29" t="inlineStr">
        <is>
          <t>Mobile App</t>
        </is>
      </c>
      <c r="C27" s="29" t="inlineStr">
        <is>
          <t>Home Management</t>
        </is>
      </c>
      <c r="D27" s="30" t="inlineStr">
        <is>
          <t>M2</t>
        </is>
      </c>
      <c r="E27" s="31" t="inlineStr">
        <is>
          <t>$280</t>
        </is>
      </c>
      <c r="F27" s="29" t="inlineStr">
        <is>
          <t>Home</t>
        </is>
      </c>
      <c r="G27" s="29" t="inlineStr">
        <is>
          <t>Room assignment</t>
        </is>
      </c>
      <c r="H27" s="29" t="inlineStr">
        <is>
          <t>User/admin can assign devices to rooms within a Home.</t>
        </is>
      </c>
      <c r="I27" s="30" t="inlineStr">
        <is>
          <t>Trung bình</t>
        </is>
      </c>
      <c r="J27" s="30" t="inlineStr">
        <is>
          <t>Chưa bắt đầu</t>
        </is>
      </c>
      <c r="K27" s="30" t="inlineStr"/>
      <c r="L27" s="32" t="inlineStr"/>
      <c r="M27" s="29" t="inlineStr">
        <is>
          <t>Backend persistence</t>
        </is>
      </c>
      <c r="N27" s="29" t="inlineStr"/>
      <c r="O27" s="29" t="inlineStr">
        <is>
          <t>Milestone 2</t>
        </is>
      </c>
    </row>
    <row r="28" ht="42" customHeight="1">
      <c r="A28" s="29" t="inlineStr">
        <is>
          <t>APP-023</t>
        </is>
      </c>
      <c r="B28" s="29" t="inlineStr">
        <is>
          <t>Mobile App</t>
        </is>
      </c>
      <c r="C28" s="29" t="inlineStr">
        <is>
          <t>Home Management</t>
        </is>
      </c>
      <c r="D28" s="30" t="inlineStr">
        <is>
          <t>M2</t>
        </is>
      </c>
      <c r="E28" s="31" t="inlineStr">
        <is>
          <t>$280</t>
        </is>
      </c>
      <c r="F28" s="29" t="inlineStr">
        <is>
          <t>Permissions</t>
        </is>
      </c>
      <c r="G28" s="29" t="inlineStr">
        <is>
          <t>Device permission handling</t>
        </is>
      </c>
      <c r="H28" s="29" t="inlineStr">
        <is>
          <t>Device access/permission behavior is represented correctly in the app.</t>
        </is>
      </c>
      <c r="I28" s="30" t="inlineStr">
        <is>
          <t>Trung bình</t>
        </is>
      </c>
      <c r="J28" s="30" t="inlineStr">
        <is>
          <t>Chưa bắt đầu</t>
        </is>
      </c>
      <c r="K28" s="30" t="inlineStr"/>
      <c r="L28" s="32" t="inlineStr"/>
      <c r="M28" s="29" t="inlineStr">
        <is>
          <t>Home/room model</t>
        </is>
      </c>
      <c r="N28" s="29" t="inlineStr"/>
      <c r="O28" s="29" t="inlineStr">
        <is>
          <t>Milestone 2</t>
        </is>
      </c>
    </row>
    <row r="29" ht="42" customHeight="1">
      <c r="A29" s="29" t="inlineStr">
        <is>
          <t>APP-024</t>
        </is>
      </c>
      <c r="B29" s="29" t="inlineStr">
        <is>
          <t>Mobile App</t>
        </is>
      </c>
      <c r="C29" s="29" t="inlineStr">
        <is>
          <t>Into the Cold</t>
        </is>
      </c>
      <c r="D29" s="30" t="inlineStr">
        <is>
          <t>M3</t>
        </is>
      </c>
      <c r="E29" s="31" t="inlineStr">
        <is>
          <t>$170</t>
        </is>
      </c>
      <c r="F29" s="29" t="inlineStr">
        <is>
          <t>Timer</t>
        </is>
      </c>
      <c r="G29" s="29" t="inlineStr">
        <is>
          <t>Into the Cold countdown</t>
        </is>
      </c>
      <c r="H29" s="29" t="inlineStr">
        <is>
          <t>Countdown timer is available and works reliably during user sessions.</t>
        </is>
      </c>
      <c r="I29" s="30" t="inlineStr">
        <is>
          <t>Trung bình</t>
        </is>
      </c>
      <c r="J29" s="30" t="inlineStr">
        <is>
          <t>Chưa bắt đầu</t>
        </is>
      </c>
      <c r="K29" s="30" t="inlineStr"/>
      <c r="L29" s="32" t="inlineStr"/>
      <c r="M29" s="29" t="inlineStr">
        <is>
          <t>App state handling</t>
        </is>
      </c>
      <c r="N29" s="29" t="inlineStr"/>
      <c r="O29" s="29" t="inlineStr">
        <is>
          <t>Overview #4; Milestone 3</t>
        </is>
      </c>
    </row>
    <row r="30" ht="42" customHeight="1">
      <c r="A30" s="29" t="inlineStr">
        <is>
          <t>APP-025</t>
        </is>
      </c>
      <c r="B30" s="29" t="inlineStr">
        <is>
          <t>Mobile App</t>
        </is>
      </c>
      <c r="C30" s="29" t="inlineStr">
        <is>
          <t>Into the Cold</t>
        </is>
      </c>
      <c r="D30" s="30" t="inlineStr">
        <is>
          <t>M3</t>
        </is>
      </c>
      <c r="E30" s="31" t="inlineStr">
        <is>
          <t>$170</t>
        </is>
      </c>
      <c r="F30" s="29" t="inlineStr">
        <is>
          <t>Activity</t>
        </is>
      </c>
      <c r="G30" s="29" t="inlineStr">
        <is>
          <t>Daily activity summary</t>
        </is>
      </c>
      <c r="H30" s="29" t="inlineStr">
        <is>
          <t>Daily activity summary is shown in app for the Into the Cold flow.</t>
        </is>
      </c>
      <c r="I30" s="30" t="inlineStr">
        <is>
          <t>Trung bình</t>
        </is>
      </c>
      <c r="J30" s="30" t="inlineStr">
        <is>
          <t>Chưa bắt đầu</t>
        </is>
      </c>
      <c r="K30" s="30" t="inlineStr"/>
      <c r="L30" s="32" t="inlineStr"/>
      <c r="M30" s="29" t="inlineStr">
        <is>
          <t>Activity data storage</t>
        </is>
      </c>
      <c r="N30" s="29" t="inlineStr"/>
      <c r="O30" s="29" t="inlineStr">
        <is>
          <t>Milestone 3</t>
        </is>
      </c>
    </row>
    <row r="31" ht="42" customHeight="1">
      <c r="A31" s="29" t="inlineStr">
        <is>
          <t>APP-026</t>
        </is>
      </c>
      <c r="B31" s="29" t="inlineStr">
        <is>
          <t>Mobile App</t>
        </is>
      </c>
      <c r="C31" s="29" t="inlineStr">
        <is>
          <t>Filter Reminder</t>
        </is>
      </c>
      <c r="D31" s="30" t="inlineStr">
        <is>
          <t>M3</t>
        </is>
      </c>
      <c r="E31" s="31" t="inlineStr">
        <is>
          <t>$170</t>
        </is>
      </c>
      <c r="F31" s="29" t="inlineStr">
        <is>
          <t>Maintenance</t>
        </is>
      </c>
      <c r="G31" s="29" t="inlineStr">
        <is>
          <t>Filter status display</t>
        </is>
      </c>
      <c r="H31" s="29" t="inlineStr">
        <is>
          <t>App displays current filter reminder/status state to the user.</t>
        </is>
      </c>
      <c r="I31" s="30" t="inlineStr">
        <is>
          <t>Trung bình</t>
        </is>
      </c>
      <c r="J31" s="30" t="inlineStr">
        <is>
          <t>Chưa bắt đầu</t>
        </is>
      </c>
      <c r="K31" s="30" t="inlineStr"/>
      <c r="L31" s="32" t="inlineStr"/>
      <c r="M31" s="29" t="inlineStr">
        <is>
          <t>Backend reminder state</t>
        </is>
      </c>
      <c r="N31" s="29" t="inlineStr"/>
      <c r="O31" s="29" t="inlineStr">
        <is>
          <t>Overview #4; Milestone 3</t>
        </is>
      </c>
    </row>
    <row r="32" ht="42" customHeight="1">
      <c r="A32" s="29" t="inlineStr">
        <is>
          <t>APP-027</t>
        </is>
      </c>
      <c r="B32" s="29" t="inlineStr">
        <is>
          <t>Mobile App</t>
        </is>
      </c>
      <c r="C32" s="29" t="inlineStr">
        <is>
          <t>Filter Reminder</t>
        </is>
      </c>
      <c r="D32" s="30" t="inlineStr">
        <is>
          <t>M3</t>
        </is>
      </c>
      <c r="E32" s="31" t="inlineStr">
        <is>
          <t>$170</t>
        </is>
      </c>
      <c r="F32" s="29" t="inlineStr">
        <is>
          <t>Maintenance</t>
        </is>
      </c>
      <c r="G32" s="29" t="inlineStr">
        <is>
          <t>Filter reset action</t>
        </is>
      </c>
      <c r="H32" s="29" t="inlineStr">
        <is>
          <t>User can reset filter reminder after replacement/maintenance.</t>
        </is>
      </c>
      <c r="I32" s="30" t="inlineStr">
        <is>
          <t>Trung bình</t>
        </is>
      </c>
      <c r="J32" s="30" t="inlineStr">
        <is>
          <t>Chưa bắt đầu</t>
        </is>
      </c>
      <c r="K32" s="30" t="inlineStr"/>
      <c r="L32" s="32" t="inlineStr"/>
      <c r="M32" s="29" t="inlineStr">
        <is>
          <t>Backend reset persistence</t>
        </is>
      </c>
      <c r="N32" s="29" t="inlineStr"/>
      <c r="O32" s="29" t="inlineStr">
        <is>
          <t>Milestone 3</t>
        </is>
      </c>
    </row>
    <row r="33" ht="42" customHeight="1">
      <c r="A33" s="29" t="inlineStr">
        <is>
          <t>APP-028</t>
        </is>
      </c>
      <c r="B33" s="29" t="inlineStr">
        <is>
          <t>Mobile App</t>
        </is>
      </c>
      <c r="C33" s="29" t="inlineStr">
        <is>
          <t>Filter Reminder</t>
        </is>
      </c>
      <c r="D33" s="30" t="inlineStr">
        <is>
          <t>M3</t>
        </is>
      </c>
      <c r="E33" s="31" t="inlineStr">
        <is>
          <t>$170</t>
        </is>
      </c>
      <c r="F33" s="29" t="inlineStr">
        <is>
          <t>Maintenance</t>
        </is>
      </c>
      <c r="G33" s="29" t="inlineStr">
        <is>
          <t>Buy-filter link</t>
        </is>
      </c>
      <c r="H33" s="29" t="inlineStr">
        <is>
          <t>App includes a link/action to buy a new filter.</t>
        </is>
      </c>
      <c r="I33" s="30" t="inlineStr">
        <is>
          <t>Thấp</t>
        </is>
      </c>
      <c r="J33" s="30" t="inlineStr">
        <is>
          <t>Chưa bắt đầu</t>
        </is>
      </c>
      <c r="K33" s="30" t="inlineStr"/>
      <c r="L33" s="32" t="inlineStr"/>
      <c r="M33" s="29" t="inlineStr">
        <is>
          <t>Final purchase URL</t>
        </is>
      </c>
      <c r="N33" s="29" t="inlineStr"/>
      <c r="O33" s="29" t="inlineStr">
        <is>
          <t>Milestone 3</t>
        </is>
      </c>
    </row>
    <row r="34" ht="42" customHeight="1">
      <c r="A34" s="29" t="inlineStr">
        <is>
          <t>APP-029</t>
        </is>
      </c>
      <c r="B34" s="29" t="inlineStr">
        <is>
          <t>Mobile App</t>
        </is>
      </c>
      <c r="C34" s="29" t="inlineStr">
        <is>
          <t>Push Notifications</t>
        </is>
      </c>
      <c r="D34" s="30" t="inlineStr">
        <is>
          <t>M3</t>
        </is>
      </c>
      <c r="E34" s="31" t="inlineStr">
        <is>
          <t>$170</t>
        </is>
      </c>
      <c r="F34" s="29" t="inlineStr">
        <is>
          <t>Notifications</t>
        </is>
      </c>
      <c r="G34" s="29" t="inlineStr">
        <is>
          <t>Notification permission and token flow</t>
        </is>
      </c>
      <c r="H34" s="29" t="inlineStr">
        <is>
          <t>App asks permission and registers FCM/APNs token for notifications.</t>
        </is>
      </c>
      <c r="I34" s="30" t="inlineStr">
        <is>
          <t>Cao</t>
        </is>
      </c>
      <c r="J34" s="30" t="inlineStr">
        <is>
          <t>Chưa bắt đầu</t>
        </is>
      </c>
      <c r="K34" s="30" t="inlineStr"/>
      <c r="L34" s="32" t="inlineStr"/>
      <c r="M34" s="29" t="inlineStr">
        <is>
          <t>Firebase configuration</t>
        </is>
      </c>
      <c r="N34" s="29" t="inlineStr"/>
      <c r="O34" s="29" t="inlineStr">
        <is>
          <t>Overview #3; Milestone 3</t>
        </is>
      </c>
    </row>
    <row r="35" ht="42" customHeight="1">
      <c r="A35" s="29" t="inlineStr">
        <is>
          <t>APP-030</t>
        </is>
      </c>
      <c r="B35" s="29" t="inlineStr">
        <is>
          <t>Mobile App</t>
        </is>
      </c>
      <c r="C35" s="29" t="inlineStr">
        <is>
          <t>Push Notifications</t>
        </is>
      </c>
      <c r="D35" s="30" t="inlineStr">
        <is>
          <t>M3</t>
        </is>
      </c>
      <c r="E35" s="31" t="inlineStr">
        <is>
          <t>$170</t>
        </is>
      </c>
      <c r="F35" s="29" t="inlineStr">
        <is>
          <t>Notifications</t>
        </is>
      </c>
      <c r="G35" s="29" t="inlineStr">
        <is>
          <t>Cleanup/status alerts in app</t>
        </is>
      </c>
      <c r="H35" s="29" t="inlineStr">
        <is>
          <t>Cleanup reminders and status alerts are received/displayed correctly.</t>
        </is>
      </c>
      <c r="I35" s="30" t="inlineStr">
        <is>
          <t>Cao</t>
        </is>
      </c>
      <c r="J35" s="30" t="inlineStr">
        <is>
          <t>Chưa bắt đầu</t>
        </is>
      </c>
      <c r="K35" s="30" t="inlineStr"/>
      <c r="L35" s="32" t="inlineStr"/>
      <c r="M35" s="29" t="inlineStr">
        <is>
          <t>Backend notification rules</t>
        </is>
      </c>
      <c r="N35" s="29" t="inlineStr"/>
      <c r="O35" s="29" t="inlineStr">
        <is>
          <t>Milestone 3</t>
        </is>
      </c>
    </row>
    <row r="36" ht="42" customHeight="1">
      <c r="A36" s="29" t="inlineStr">
        <is>
          <t>APP-031</t>
        </is>
      </c>
      <c r="B36" s="29" t="inlineStr">
        <is>
          <t>Mobile App</t>
        </is>
      </c>
      <c r="C36" s="29" t="inlineStr">
        <is>
          <t>QA &amp; Release</t>
        </is>
      </c>
      <c r="D36" s="30" t="inlineStr">
        <is>
          <t>M3</t>
        </is>
      </c>
      <c r="E36" s="31" t="inlineStr">
        <is>
          <t>$170</t>
        </is>
      </c>
      <c r="F36" s="29" t="inlineStr">
        <is>
          <t>Testing</t>
        </is>
      </c>
      <c r="G36" s="29" t="inlineStr">
        <is>
          <t>Real-device end-to-end test</t>
        </is>
      </c>
      <c r="H36" s="29" t="inlineStr">
        <is>
          <t>A full real-device flow passes: login, home setup, pair, control, notification.</t>
        </is>
      </c>
      <c r="I36" s="30" t="inlineStr">
        <is>
          <t>Cao</t>
        </is>
      </c>
      <c r="J36" s="30" t="inlineStr">
        <is>
          <t>Chưa bắt đầu</t>
        </is>
      </c>
      <c r="K36" s="30" t="inlineStr"/>
      <c r="L36" s="32" t="inlineStr"/>
      <c r="M36" s="29" t="inlineStr">
        <is>
          <t>Device access</t>
        </is>
      </c>
      <c r="N36" s="29" t="inlineStr"/>
      <c r="O36" s="29" t="inlineStr">
        <is>
          <t>Milestone 3</t>
        </is>
      </c>
    </row>
    <row r="37" ht="42" customHeight="1">
      <c r="A37" s="29" t="inlineStr">
        <is>
          <t>APP-032</t>
        </is>
      </c>
      <c r="B37" s="29" t="inlineStr">
        <is>
          <t>Mobile App</t>
        </is>
      </c>
      <c r="C37" s="29" t="inlineStr">
        <is>
          <t>QA &amp; Release</t>
        </is>
      </c>
      <c r="D37" s="30" t="inlineStr">
        <is>
          <t>M3</t>
        </is>
      </c>
      <c r="E37" s="31" t="inlineStr">
        <is>
          <t>$170</t>
        </is>
      </c>
      <c r="F37" s="29" t="inlineStr">
        <is>
          <t>Delivery</t>
        </is>
      </c>
      <c r="G37" s="29" t="inlineStr">
        <is>
          <t>Mobile release build</t>
        </is>
      </c>
      <c r="H37" s="29" t="inlineStr">
        <is>
          <t>Final app build is prepared for handoff/deployment.</t>
        </is>
      </c>
      <c r="I37" s="30" t="inlineStr">
        <is>
          <t>Cao</t>
        </is>
      </c>
      <c r="J37" s="30" t="inlineStr">
        <is>
          <t>Chưa bắt đầu</t>
        </is>
      </c>
      <c r="K37" s="30" t="inlineStr"/>
      <c r="L37" s="32" t="inlineStr"/>
      <c r="M37" s="29" t="inlineStr">
        <is>
          <t>Testing complete</t>
        </is>
      </c>
      <c r="N37" s="29" t="inlineStr"/>
      <c r="O37" s="29" t="inlineStr">
        <is>
          <t>Milestone 3</t>
        </is>
      </c>
    </row>
    <row r="38">
      <c r="L38" s="33" t="n"/>
    </row>
    <row r="39">
      <c r="L39" s="33" t="n"/>
    </row>
    <row r="40">
      <c r="L40" s="33" t="n"/>
    </row>
    <row r="41">
      <c r="L41" s="33" t="n"/>
    </row>
    <row r="42">
      <c r="L42" s="33" t="n"/>
    </row>
    <row r="43">
      <c r="L43" s="33" t="n"/>
    </row>
    <row r="44">
      <c r="L44" s="33" t="n"/>
    </row>
    <row r="45">
      <c r="L45" s="33" t="n"/>
    </row>
    <row r="46">
      <c r="L46" s="33" t="n"/>
    </row>
    <row r="47">
      <c r="L47" s="33" t="n"/>
    </row>
    <row r="48">
      <c r="L48" s="33" t="n"/>
    </row>
    <row r="49">
      <c r="L49" s="33" t="n"/>
    </row>
    <row r="50">
      <c r="L50" s="33" t="n"/>
    </row>
    <row r="51">
      <c r="L51" s="33" t="n"/>
    </row>
    <row r="52">
      <c r="L52" s="33" t="n"/>
    </row>
    <row r="53">
      <c r="L53" s="33" t="n"/>
    </row>
    <row r="54">
      <c r="L54" s="33" t="n"/>
    </row>
    <row r="55">
      <c r="L55" s="33" t="n"/>
    </row>
    <row r="56">
      <c r="L56" s="33" t="n"/>
    </row>
    <row r="57">
      <c r="L57" s="33" t="n"/>
    </row>
    <row r="58">
      <c r="L58" s="33" t="n"/>
    </row>
    <row r="59">
      <c r="L59" s="33" t="n"/>
    </row>
    <row r="60">
      <c r="L60" s="33" t="n"/>
    </row>
    <row r="61">
      <c r="L61" s="33" t="n"/>
    </row>
    <row r="62">
      <c r="L62" s="33" t="n"/>
    </row>
    <row r="63">
      <c r="L63" s="33" t="n"/>
    </row>
    <row r="64">
      <c r="L64" s="33" t="n"/>
    </row>
    <row r="65">
      <c r="L65" s="33" t="n"/>
    </row>
    <row r="66">
      <c r="L66" s="33" t="n"/>
    </row>
    <row r="67">
      <c r="L67" s="33" t="n"/>
    </row>
    <row r="68">
      <c r="L68" s="33" t="n"/>
    </row>
    <row r="69">
      <c r="L69" s="33" t="n"/>
    </row>
    <row r="70">
      <c r="L70" s="33" t="n"/>
    </row>
    <row r="71">
      <c r="L71" s="33" t="n"/>
    </row>
    <row r="72">
      <c r="L72" s="33" t="n"/>
    </row>
    <row r="73">
      <c r="L73" s="33" t="n"/>
    </row>
    <row r="74">
      <c r="L74" s="33" t="n"/>
    </row>
    <row r="75">
      <c r="L75" s="33" t="n"/>
    </row>
    <row r="76">
      <c r="L76" s="33" t="n"/>
    </row>
    <row r="77">
      <c r="L77" s="33" t="n"/>
    </row>
    <row r="78">
      <c r="L78" s="33" t="n"/>
    </row>
    <row r="79">
      <c r="L79" s="33" t="n"/>
    </row>
    <row r="80">
      <c r="L80" s="33" t="n"/>
    </row>
    <row r="81">
      <c r="L81" s="33" t="n"/>
    </row>
    <row r="82">
      <c r="L82" s="33" t="n"/>
    </row>
    <row r="83">
      <c r="L83" s="33" t="n"/>
    </row>
    <row r="84">
      <c r="L84" s="33" t="n"/>
    </row>
    <row r="85">
      <c r="L85" s="33" t="n"/>
    </row>
    <row r="86">
      <c r="L86" s="33" t="n"/>
    </row>
    <row r="87">
      <c r="L87" s="33" t="n"/>
    </row>
    <row r="88">
      <c r="L88" s="33" t="n"/>
    </row>
    <row r="89">
      <c r="L89" s="33" t="n"/>
    </row>
    <row r="90">
      <c r="L90" s="33" t="n"/>
    </row>
    <row r="91">
      <c r="L91" s="33" t="n"/>
    </row>
    <row r="92">
      <c r="L92" s="33" t="n"/>
    </row>
    <row r="93">
      <c r="L93" s="33" t="n"/>
    </row>
    <row r="94">
      <c r="L94" s="33" t="n"/>
    </row>
    <row r="95">
      <c r="L95" s="33" t="n"/>
    </row>
    <row r="96">
      <c r="L96" s="33" t="n"/>
    </row>
    <row r="97">
      <c r="L97" s="33" t="n"/>
    </row>
    <row r="98">
      <c r="L98" s="33" t="n"/>
    </row>
    <row r="99">
      <c r="L99" s="33" t="n"/>
    </row>
    <row r="100">
      <c r="L100" s="33" t="n"/>
    </row>
    <row r="101">
      <c r="L101" s="33" t="n"/>
    </row>
    <row r="102">
      <c r="L102" s="33" t="n"/>
    </row>
    <row r="103">
      <c r="L103" s="33" t="n"/>
    </row>
    <row r="104">
      <c r="L104" s="33" t="n"/>
    </row>
    <row r="105">
      <c r="L105" s="33" t="n"/>
    </row>
    <row r="106">
      <c r="L106" s="33" t="n"/>
    </row>
    <row r="107">
      <c r="L107" s="33" t="n"/>
    </row>
    <row r="108">
      <c r="L108" s="33" t="n"/>
    </row>
    <row r="109">
      <c r="L109" s="33" t="n"/>
    </row>
    <row r="110">
      <c r="L110" s="33" t="n"/>
    </row>
    <row r="111">
      <c r="L111" s="33" t="n"/>
    </row>
    <row r="112">
      <c r="L112" s="33" t="n"/>
    </row>
    <row r="113">
      <c r="L113" s="33" t="n"/>
    </row>
    <row r="114">
      <c r="L114" s="33" t="n"/>
    </row>
    <row r="115">
      <c r="L115" s="33" t="n"/>
    </row>
    <row r="116">
      <c r="L116" s="33" t="n"/>
    </row>
    <row r="117">
      <c r="L117" s="33" t="n"/>
    </row>
    <row r="118">
      <c r="L118" s="33" t="n"/>
    </row>
    <row r="119">
      <c r="L119" s="33" t="n"/>
    </row>
    <row r="120">
      <c r="L120" s="33" t="n"/>
    </row>
    <row r="121">
      <c r="L121" s="33" t="n"/>
    </row>
    <row r="122">
      <c r="L122" s="33" t="n"/>
    </row>
    <row r="123">
      <c r="L123" s="33" t="n"/>
    </row>
    <row r="124">
      <c r="L124" s="33" t="n"/>
    </row>
    <row r="125">
      <c r="L125" s="33" t="n"/>
    </row>
    <row r="126">
      <c r="L126" s="33" t="n"/>
    </row>
    <row r="127">
      <c r="L127" s="33" t="n"/>
    </row>
    <row r="128">
      <c r="L128" s="33" t="n"/>
    </row>
    <row r="129">
      <c r="L129" s="33" t="n"/>
    </row>
    <row r="130">
      <c r="L130" s="33" t="n"/>
    </row>
    <row r="131">
      <c r="L131" s="33" t="n"/>
    </row>
    <row r="132">
      <c r="L132" s="33" t="n"/>
    </row>
    <row r="133">
      <c r="L133" s="33" t="n"/>
    </row>
    <row r="134">
      <c r="L134" s="33" t="n"/>
    </row>
    <row r="135">
      <c r="L135" s="33" t="n"/>
    </row>
    <row r="136">
      <c r="L136" s="33" t="n"/>
    </row>
    <row r="137">
      <c r="L137" s="33" t="n"/>
    </row>
    <row r="138">
      <c r="L138" s="33" t="n"/>
    </row>
    <row r="139">
      <c r="L139" s="33" t="n"/>
    </row>
    <row r="140">
      <c r="L140" s="33" t="n"/>
    </row>
    <row r="141">
      <c r="L141" s="33" t="n"/>
    </row>
    <row r="142">
      <c r="L142" s="33" t="n"/>
    </row>
    <row r="143">
      <c r="L143" s="33" t="n"/>
    </row>
    <row r="144">
      <c r="L144" s="33" t="n"/>
    </row>
    <row r="145">
      <c r="L145" s="33" t="n"/>
    </row>
    <row r="146">
      <c r="L146" s="33" t="n"/>
    </row>
    <row r="147">
      <c r="L147" s="33" t="n"/>
    </row>
    <row r="148">
      <c r="L148" s="33" t="n"/>
    </row>
    <row r="149">
      <c r="L149" s="33" t="n"/>
    </row>
    <row r="150">
      <c r="L150" s="33" t="n"/>
    </row>
    <row r="151">
      <c r="L151" s="33" t="n"/>
    </row>
    <row r="152">
      <c r="L152" s="33" t="n"/>
    </row>
    <row r="153">
      <c r="L153" s="33" t="n"/>
    </row>
    <row r="154">
      <c r="L154" s="33" t="n"/>
    </row>
    <row r="155">
      <c r="L155" s="33" t="n"/>
    </row>
    <row r="156">
      <c r="L156" s="33" t="n"/>
    </row>
    <row r="157">
      <c r="L157" s="33" t="n"/>
    </row>
    <row r="158">
      <c r="L158" s="33" t="n"/>
    </row>
    <row r="159">
      <c r="L159" s="33" t="n"/>
    </row>
    <row r="160">
      <c r="L160" s="33" t="n"/>
    </row>
    <row r="161">
      <c r="L161" s="33" t="n"/>
    </row>
    <row r="162">
      <c r="L162" s="33" t="n"/>
    </row>
    <row r="163">
      <c r="L163" s="33" t="n"/>
    </row>
    <row r="164">
      <c r="L164" s="33" t="n"/>
    </row>
    <row r="165">
      <c r="L165" s="33" t="n"/>
    </row>
    <row r="166">
      <c r="L166" s="33" t="n"/>
    </row>
    <row r="167">
      <c r="L167" s="33" t="n"/>
    </row>
    <row r="168">
      <c r="L168" s="33" t="n"/>
    </row>
    <row r="169">
      <c r="L169" s="33" t="n"/>
    </row>
    <row r="170">
      <c r="L170" s="33" t="n"/>
    </row>
    <row r="171">
      <c r="L171" s="33" t="n"/>
    </row>
    <row r="172">
      <c r="L172" s="33" t="n"/>
    </row>
    <row r="173">
      <c r="L173" s="33" t="n"/>
    </row>
    <row r="174">
      <c r="L174" s="33" t="n"/>
    </row>
    <row r="175">
      <c r="L175" s="33" t="n"/>
    </row>
    <row r="176">
      <c r="L176" s="33" t="n"/>
    </row>
    <row r="177">
      <c r="L177" s="33" t="n"/>
    </row>
    <row r="178">
      <c r="L178" s="33" t="n"/>
    </row>
    <row r="179">
      <c r="L179" s="33" t="n"/>
    </row>
    <row r="180">
      <c r="L180" s="33" t="n"/>
    </row>
    <row r="181">
      <c r="L181" s="33" t="n"/>
    </row>
    <row r="182">
      <c r="L182" s="33" t="n"/>
    </row>
    <row r="183">
      <c r="L183" s="33" t="n"/>
    </row>
    <row r="184">
      <c r="L184" s="33" t="n"/>
    </row>
    <row r="185">
      <c r="L185" s="33" t="n"/>
    </row>
    <row r="186">
      <c r="L186" s="33" t="n"/>
    </row>
    <row r="187">
      <c r="L187" s="33" t="n"/>
    </row>
    <row r="188">
      <c r="L188" s="33" t="n"/>
    </row>
    <row r="189">
      <c r="L189" s="33" t="n"/>
    </row>
    <row r="190">
      <c r="L190" s="33" t="n"/>
    </row>
    <row r="191">
      <c r="L191" s="33" t="n"/>
    </row>
    <row r="192">
      <c r="L192" s="33" t="n"/>
    </row>
    <row r="193">
      <c r="L193" s="33" t="n"/>
    </row>
    <row r="194">
      <c r="L194" s="33" t="n"/>
    </row>
    <row r="195">
      <c r="L195" s="33" t="n"/>
    </row>
    <row r="196">
      <c r="L196" s="33" t="n"/>
    </row>
    <row r="197">
      <c r="L197" s="33" t="n"/>
    </row>
    <row r="198">
      <c r="L198" s="33" t="n"/>
    </row>
    <row r="199">
      <c r="L199" s="33" t="n"/>
    </row>
    <row r="200">
      <c r="L200" s="33" t="n"/>
    </row>
    <row r="201">
      <c r="L201" s="33" t="n"/>
    </row>
    <row r="202">
      <c r="L202" s="33" t="n"/>
    </row>
    <row r="203">
      <c r="L203" s="33" t="n"/>
    </row>
    <row r="204">
      <c r="L204" s="33" t="n"/>
    </row>
    <row r="205">
      <c r="L205" s="33" t="n"/>
    </row>
    <row r="206">
      <c r="L206" s="33" t="n"/>
    </row>
    <row r="207">
      <c r="L207" s="33" t="n"/>
    </row>
    <row r="208">
      <c r="L208" s="33" t="n"/>
    </row>
    <row r="209">
      <c r="L209" s="33" t="n"/>
    </row>
    <row r="210">
      <c r="L210" s="33" t="n"/>
    </row>
    <row r="211">
      <c r="L211" s="33" t="n"/>
    </row>
    <row r="212">
      <c r="L212" s="33" t="n"/>
    </row>
    <row r="213">
      <c r="L213" s="33" t="n"/>
    </row>
    <row r="214">
      <c r="L214" s="33" t="n"/>
    </row>
    <row r="215">
      <c r="L215" s="33" t="n"/>
    </row>
    <row r="216">
      <c r="L216" s="33" t="n"/>
    </row>
    <row r="217">
      <c r="L217" s="33" t="n"/>
    </row>
    <row r="218">
      <c r="L218" s="33" t="n"/>
    </row>
    <row r="219">
      <c r="L219" s="33" t="n"/>
    </row>
    <row r="220">
      <c r="L220" s="33" t="n"/>
    </row>
    <row r="221">
      <c r="L221" s="33" t="n"/>
    </row>
    <row r="222">
      <c r="L222" s="33" t="n"/>
    </row>
    <row r="223">
      <c r="L223" s="33" t="n"/>
    </row>
    <row r="224">
      <c r="L224" s="33" t="n"/>
    </row>
    <row r="225">
      <c r="L225" s="33" t="n"/>
    </row>
    <row r="226">
      <c r="L226" s="33" t="n"/>
    </row>
    <row r="227">
      <c r="L227" s="33" t="n"/>
    </row>
    <row r="228">
      <c r="L228" s="33" t="n"/>
    </row>
    <row r="229">
      <c r="L229" s="33" t="n"/>
    </row>
    <row r="230">
      <c r="L230" s="33" t="n"/>
    </row>
    <row r="231">
      <c r="L231" s="33" t="n"/>
    </row>
    <row r="232">
      <c r="L232" s="33" t="n"/>
    </row>
    <row r="233">
      <c r="L233" s="33" t="n"/>
    </row>
    <row r="234">
      <c r="L234" s="33" t="n"/>
    </row>
    <row r="235">
      <c r="L235" s="33" t="n"/>
    </row>
    <row r="236">
      <c r="L236" s="33" t="n"/>
    </row>
    <row r="237">
      <c r="L237" s="33" t="n"/>
    </row>
    <row r="238">
      <c r="L238" s="33" t="n"/>
    </row>
    <row r="239">
      <c r="L239" s="33" t="n"/>
    </row>
    <row r="240">
      <c r="L240" s="33" t="n"/>
    </row>
    <row r="241">
      <c r="L241" s="33" t="n"/>
    </row>
    <row r="242">
      <c r="L242" s="33" t="n"/>
    </row>
    <row r="243">
      <c r="L243" s="33" t="n"/>
    </row>
    <row r="244">
      <c r="L244" s="33" t="n"/>
    </row>
    <row r="245">
      <c r="L245" s="33" t="n"/>
    </row>
    <row r="246">
      <c r="L246" s="33" t="n"/>
    </row>
    <row r="247">
      <c r="L247" s="33" t="n"/>
    </row>
    <row r="248">
      <c r="L248" s="33" t="n"/>
    </row>
    <row r="249">
      <c r="L249" s="33" t="n"/>
    </row>
    <row r="250">
      <c r="L250" s="33" t="n"/>
    </row>
    <row r="251">
      <c r="L251" s="33" t="n"/>
    </row>
    <row r="252">
      <c r="L252" s="33" t="n"/>
    </row>
    <row r="253">
      <c r="L253" s="33" t="n"/>
    </row>
    <row r="254">
      <c r="L254" s="33" t="n"/>
    </row>
    <row r="255">
      <c r="L255" s="33" t="n"/>
    </row>
    <row r="256">
      <c r="L256" s="33" t="n"/>
    </row>
    <row r="257">
      <c r="L257" s="33" t="n"/>
    </row>
    <row r="258">
      <c r="L258" s="33" t="n"/>
    </row>
    <row r="259">
      <c r="L259" s="33" t="n"/>
    </row>
    <row r="260">
      <c r="L260" s="33" t="n"/>
    </row>
    <row r="261">
      <c r="L261" s="33" t="n"/>
    </row>
    <row r="262">
      <c r="L262" s="33" t="n"/>
    </row>
    <row r="263">
      <c r="L263" s="33" t="n"/>
    </row>
    <row r="264">
      <c r="L264" s="33" t="n"/>
    </row>
    <row r="265">
      <c r="L265" s="33" t="n"/>
    </row>
    <row r="266">
      <c r="L266" s="33" t="n"/>
    </row>
    <row r="267">
      <c r="L267" s="33" t="n"/>
    </row>
    <row r="268">
      <c r="L268" s="33" t="n"/>
    </row>
    <row r="269">
      <c r="L269" s="33" t="n"/>
    </row>
    <row r="270">
      <c r="L270" s="33" t="n"/>
    </row>
    <row r="271">
      <c r="L271" s="33" t="n"/>
    </row>
    <row r="272">
      <c r="L272" s="33" t="n"/>
    </row>
    <row r="273">
      <c r="L273" s="33" t="n"/>
    </row>
    <row r="274">
      <c r="L274" s="33" t="n"/>
    </row>
    <row r="275">
      <c r="L275" s="33" t="n"/>
    </row>
    <row r="276">
      <c r="L276" s="33" t="n"/>
    </row>
    <row r="277">
      <c r="L277" s="33" t="n"/>
    </row>
    <row r="278">
      <c r="L278" s="33" t="n"/>
    </row>
    <row r="279">
      <c r="L279" s="33" t="n"/>
    </row>
    <row r="280">
      <c r="L280" s="33" t="n"/>
    </row>
    <row r="281">
      <c r="L281" s="33" t="n"/>
    </row>
    <row r="282">
      <c r="L282" s="33" t="n"/>
    </row>
    <row r="283">
      <c r="L283" s="33" t="n"/>
    </row>
    <row r="284">
      <c r="L284" s="33" t="n"/>
    </row>
    <row r="285">
      <c r="L285" s="33" t="n"/>
    </row>
    <row r="286">
      <c r="L286" s="33" t="n"/>
    </row>
    <row r="287">
      <c r="L287" s="33" t="n"/>
    </row>
    <row r="288">
      <c r="L288" s="33" t="n"/>
    </row>
    <row r="289">
      <c r="L289" s="33" t="n"/>
    </row>
    <row r="290">
      <c r="L290" s="33" t="n"/>
    </row>
    <row r="291">
      <c r="L291" s="33" t="n"/>
    </row>
    <row r="292">
      <c r="L292" s="33" t="n"/>
    </row>
    <row r="293">
      <c r="L293" s="33" t="n"/>
    </row>
    <row r="294">
      <c r="L294" s="33" t="n"/>
    </row>
    <row r="295">
      <c r="L295" s="33" t="n"/>
    </row>
    <row r="296">
      <c r="L296" s="33" t="n"/>
    </row>
    <row r="297">
      <c r="L297" s="33" t="n"/>
    </row>
    <row r="298">
      <c r="L298" s="33" t="n"/>
    </row>
    <row r="299">
      <c r="L299" s="33" t="n"/>
    </row>
    <row r="300">
      <c r="L300" s="33" t="n"/>
    </row>
    <row r="301">
      <c r="L301" s="33" t="n"/>
    </row>
    <row r="302">
      <c r="L302" s="33" t="n"/>
    </row>
    <row r="303">
      <c r="L303" s="33" t="n"/>
    </row>
    <row r="304">
      <c r="L304" s="33" t="n"/>
    </row>
    <row r="305">
      <c r="L305" s="33" t="n"/>
    </row>
    <row r="306">
      <c r="L306" s="33" t="n"/>
    </row>
    <row r="307">
      <c r="L307" s="33" t="n"/>
    </row>
    <row r="308">
      <c r="L308" s="33" t="n"/>
    </row>
    <row r="309">
      <c r="L309" s="33" t="n"/>
    </row>
    <row r="310">
      <c r="L310" s="33" t="n"/>
    </row>
    <row r="311">
      <c r="L311" s="33" t="n"/>
    </row>
    <row r="312">
      <c r="L312" s="33" t="n"/>
    </row>
    <row r="313">
      <c r="L313" s="33" t="n"/>
    </row>
    <row r="314">
      <c r="L314" s="33" t="n"/>
    </row>
    <row r="315">
      <c r="L315" s="33" t="n"/>
    </row>
    <row r="316">
      <c r="L316" s="33" t="n"/>
    </row>
    <row r="317">
      <c r="L317" s="33" t="n"/>
    </row>
    <row r="318">
      <c r="L318" s="33" t="n"/>
    </row>
    <row r="319">
      <c r="L319" s="33" t="n"/>
    </row>
    <row r="320">
      <c r="L320" s="33" t="n"/>
    </row>
    <row r="321">
      <c r="L321" s="33" t="n"/>
    </row>
    <row r="322">
      <c r="L322" s="33" t="n"/>
    </row>
    <row r="323">
      <c r="L323" s="33" t="n"/>
    </row>
    <row r="324">
      <c r="L324" s="33" t="n"/>
    </row>
    <row r="325">
      <c r="L325" s="33" t="n"/>
    </row>
    <row r="326">
      <c r="L326" s="33" t="n"/>
    </row>
    <row r="327">
      <c r="L327" s="33" t="n"/>
    </row>
    <row r="328">
      <c r="L328" s="33" t="n"/>
    </row>
    <row r="329">
      <c r="L329" s="33" t="n"/>
    </row>
    <row r="330">
      <c r="L330" s="33" t="n"/>
    </row>
    <row r="331">
      <c r="L331" s="33" t="n"/>
    </row>
    <row r="332">
      <c r="L332" s="33" t="n"/>
    </row>
    <row r="333">
      <c r="L333" s="33" t="n"/>
    </row>
    <row r="334">
      <c r="L334" s="33" t="n"/>
    </row>
    <row r="335">
      <c r="L335" s="33" t="n"/>
    </row>
    <row r="336">
      <c r="L336" s="33" t="n"/>
    </row>
    <row r="337">
      <c r="L337" s="33" t="n"/>
    </row>
    <row r="338">
      <c r="L338" s="33" t="n"/>
    </row>
    <row r="339">
      <c r="L339" s="33" t="n"/>
    </row>
    <row r="340">
      <c r="L340" s="33" t="n"/>
    </row>
    <row r="341">
      <c r="L341" s="33" t="n"/>
    </row>
    <row r="342">
      <c r="L342" s="33" t="n"/>
    </row>
    <row r="343">
      <c r="L343" s="33" t="n"/>
    </row>
    <row r="344">
      <c r="L344" s="33" t="n"/>
    </row>
    <row r="345">
      <c r="L345" s="33" t="n"/>
    </row>
    <row r="346">
      <c r="L346" s="33" t="n"/>
    </row>
    <row r="347">
      <c r="L347" s="33" t="n"/>
    </row>
    <row r="348">
      <c r="L348" s="33" t="n"/>
    </row>
    <row r="349">
      <c r="L349" s="33" t="n"/>
    </row>
    <row r="350">
      <c r="L350" s="33" t="n"/>
    </row>
    <row r="351">
      <c r="L351" s="33" t="n"/>
    </row>
    <row r="352">
      <c r="L352" s="33" t="n"/>
    </row>
    <row r="353">
      <c r="L353" s="33" t="n"/>
    </row>
    <row r="354">
      <c r="L354" s="33" t="n"/>
    </row>
    <row r="355">
      <c r="L355" s="33" t="n"/>
    </row>
    <row r="356">
      <c r="L356" s="33" t="n"/>
    </row>
    <row r="357">
      <c r="L357" s="33" t="n"/>
    </row>
    <row r="358">
      <c r="L358" s="33" t="n"/>
    </row>
    <row r="359">
      <c r="L359" s="33" t="n"/>
    </row>
    <row r="360">
      <c r="L360" s="33" t="n"/>
    </row>
    <row r="361">
      <c r="L361" s="33" t="n"/>
    </row>
    <row r="362">
      <c r="L362" s="33" t="n"/>
    </row>
    <row r="363">
      <c r="L363" s="33" t="n"/>
    </row>
    <row r="364">
      <c r="L364" s="33" t="n"/>
    </row>
    <row r="365">
      <c r="L365" s="33" t="n"/>
    </row>
    <row r="366">
      <c r="L366" s="33" t="n"/>
    </row>
    <row r="367">
      <c r="L367" s="33" t="n"/>
    </row>
    <row r="368">
      <c r="L368" s="33" t="n"/>
    </row>
    <row r="369">
      <c r="L369" s="33" t="n"/>
    </row>
    <row r="370">
      <c r="L370" s="33" t="n"/>
    </row>
    <row r="371">
      <c r="L371" s="33" t="n"/>
    </row>
    <row r="372">
      <c r="L372" s="33" t="n"/>
    </row>
    <row r="373">
      <c r="L373" s="33" t="n"/>
    </row>
    <row r="374">
      <c r="L374" s="33" t="n"/>
    </row>
    <row r="375">
      <c r="L375" s="33" t="n"/>
    </row>
    <row r="376">
      <c r="L376" s="33" t="n"/>
    </row>
    <row r="377">
      <c r="L377" s="33" t="n"/>
    </row>
    <row r="378">
      <c r="L378" s="33" t="n"/>
    </row>
    <row r="379">
      <c r="L379" s="33" t="n"/>
    </row>
    <row r="380">
      <c r="L380" s="33" t="n"/>
    </row>
    <row r="381">
      <c r="L381" s="33" t="n"/>
    </row>
    <row r="382">
      <c r="L382" s="33" t="n"/>
    </row>
    <row r="383">
      <c r="L383" s="33" t="n"/>
    </row>
    <row r="384">
      <c r="L384" s="33" t="n"/>
    </row>
    <row r="385">
      <c r="L385" s="33" t="n"/>
    </row>
    <row r="386">
      <c r="L386" s="33" t="n"/>
    </row>
    <row r="387">
      <c r="L387" s="33" t="n"/>
    </row>
    <row r="388">
      <c r="L388" s="33" t="n"/>
    </row>
    <row r="389">
      <c r="L389" s="33" t="n"/>
    </row>
    <row r="390">
      <c r="L390" s="33" t="n"/>
    </row>
    <row r="391">
      <c r="L391" s="33" t="n"/>
    </row>
    <row r="392">
      <c r="L392" s="33" t="n"/>
    </row>
    <row r="393">
      <c r="L393" s="33" t="n"/>
    </row>
    <row r="394">
      <c r="L394" s="33" t="n"/>
    </row>
    <row r="395">
      <c r="L395" s="33" t="n"/>
    </row>
    <row r="396">
      <c r="L396" s="33" t="n"/>
    </row>
    <row r="397">
      <c r="L397" s="33" t="n"/>
    </row>
    <row r="398">
      <c r="L398" s="33" t="n"/>
    </row>
    <row r="399">
      <c r="L399" s="33" t="n"/>
    </row>
    <row r="400">
      <c r="L400" s="33" t="n"/>
    </row>
    <row r="401">
      <c r="L401" s="33" t="n"/>
    </row>
    <row r="402">
      <c r="L402" s="33" t="n"/>
    </row>
    <row r="403">
      <c r="L403" s="33" t="n"/>
    </row>
    <row r="404">
      <c r="L404" s="33" t="n"/>
    </row>
    <row r="405">
      <c r="L405" s="33" t="n"/>
    </row>
    <row r="406">
      <c r="L406" s="33" t="n"/>
    </row>
    <row r="407">
      <c r="L407" s="33" t="n"/>
    </row>
    <row r="408">
      <c r="L408" s="33" t="n"/>
    </row>
    <row r="409">
      <c r="L409" s="33" t="n"/>
    </row>
    <row r="410">
      <c r="L410" s="33" t="n"/>
    </row>
    <row r="411">
      <c r="L411" s="33" t="n"/>
    </row>
    <row r="412">
      <c r="L412" s="33" t="n"/>
    </row>
    <row r="413">
      <c r="L413" s="33" t="n"/>
    </row>
    <row r="414">
      <c r="L414" s="33" t="n"/>
    </row>
    <row r="415">
      <c r="L415" s="33" t="n"/>
    </row>
    <row r="416">
      <c r="L416" s="33" t="n"/>
    </row>
    <row r="417">
      <c r="L417" s="33" t="n"/>
    </row>
    <row r="418">
      <c r="L418" s="33" t="n"/>
    </row>
    <row r="419">
      <c r="L419" s="33" t="n"/>
    </row>
    <row r="420">
      <c r="L420" s="33" t="n"/>
    </row>
    <row r="421">
      <c r="L421" s="33" t="n"/>
    </row>
    <row r="422">
      <c r="L422" s="33" t="n"/>
    </row>
    <row r="423">
      <c r="L423" s="33" t="n"/>
    </row>
    <row r="424">
      <c r="L424" s="33" t="n"/>
    </row>
    <row r="425">
      <c r="L425" s="33" t="n"/>
    </row>
    <row r="426">
      <c r="L426" s="33" t="n"/>
    </row>
    <row r="427">
      <c r="L427" s="33" t="n"/>
    </row>
    <row r="428">
      <c r="L428" s="33" t="n"/>
    </row>
    <row r="429">
      <c r="L429" s="33" t="n"/>
    </row>
    <row r="430">
      <c r="L430" s="33" t="n"/>
    </row>
    <row r="431">
      <c r="L431" s="33" t="n"/>
    </row>
    <row r="432">
      <c r="L432" s="33" t="n"/>
    </row>
    <row r="433">
      <c r="L433" s="33" t="n"/>
    </row>
    <row r="434">
      <c r="L434" s="33" t="n"/>
    </row>
    <row r="435">
      <c r="L435" s="33" t="n"/>
    </row>
    <row r="436">
      <c r="L436" s="33" t="n"/>
    </row>
    <row r="437">
      <c r="L437" s="33" t="n"/>
    </row>
    <row r="438">
      <c r="L438" s="33" t="n"/>
    </row>
    <row r="439">
      <c r="L439" s="33" t="n"/>
    </row>
    <row r="440">
      <c r="L440" s="33" t="n"/>
    </row>
    <row r="441">
      <c r="L441" s="33" t="n"/>
    </row>
    <row r="442">
      <c r="L442" s="33" t="n"/>
    </row>
    <row r="443">
      <c r="L443" s="33" t="n"/>
    </row>
    <row r="444">
      <c r="L444" s="33" t="n"/>
    </row>
    <row r="445">
      <c r="L445" s="33" t="n"/>
    </row>
    <row r="446">
      <c r="L446" s="33" t="n"/>
    </row>
    <row r="447">
      <c r="L447" s="33" t="n"/>
    </row>
    <row r="448">
      <c r="L448" s="33" t="n"/>
    </row>
    <row r="449">
      <c r="L449" s="33" t="n"/>
    </row>
    <row r="450">
      <c r="L450" s="33" t="n"/>
    </row>
    <row r="451">
      <c r="L451" s="33" t="n"/>
    </row>
    <row r="452">
      <c r="L452" s="33" t="n"/>
    </row>
    <row r="453">
      <c r="L453" s="33" t="n"/>
    </row>
    <row r="454">
      <c r="L454" s="33" t="n"/>
    </row>
    <row r="455">
      <c r="L455" s="33" t="n"/>
    </row>
    <row r="456">
      <c r="L456" s="33" t="n"/>
    </row>
    <row r="457">
      <c r="L457" s="33" t="n"/>
    </row>
    <row r="458">
      <c r="L458" s="33" t="n"/>
    </row>
    <row r="459">
      <c r="L459" s="33" t="n"/>
    </row>
    <row r="460">
      <c r="L460" s="33" t="n"/>
    </row>
    <row r="461">
      <c r="L461" s="33" t="n"/>
    </row>
    <row r="462">
      <c r="L462" s="33" t="n"/>
    </row>
    <row r="463">
      <c r="L463" s="33" t="n"/>
    </row>
    <row r="464">
      <c r="L464" s="33" t="n"/>
    </row>
    <row r="465">
      <c r="L465" s="33" t="n"/>
    </row>
    <row r="466">
      <c r="L466" s="33" t="n"/>
    </row>
    <row r="467">
      <c r="L467" s="33" t="n"/>
    </row>
    <row r="468">
      <c r="L468" s="33" t="n"/>
    </row>
    <row r="469">
      <c r="L469" s="33" t="n"/>
    </row>
    <row r="470">
      <c r="L470" s="33" t="n"/>
    </row>
    <row r="471">
      <c r="L471" s="33" t="n"/>
    </row>
    <row r="472">
      <c r="L472" s="33" t="n"/>
    </row>
    <row r="473">
      <c r="L473" s="33" t="n"/>
    </row>
    <row r="474">
      <c r="L474" s="33" t="n"/>
    </row>
    <row r="475">
      <c r="L475" s="33" t="n"/>
    </row>
    <row r="476">
      <c r="L476" s="33" t="n"/>
    </row>
    <row r="477">
      <c r="L477" s="33" t="n"/>
    </row>
    <row r="478">
      <c r="L478" s="33" t="n"/>
    </row>
    <row r="479">
      <c r="L479" s="33" t="n"/>
    </row>
    <row r="480">
      <c r="L480" s="33" t="n"/>
    </row>
    <row r="481">
      <c r="L481" s="33" t="n"/>
    </row>
    <row r="482">
      <c r="L482" s="33" t="n"/>
    </row>
    <row r="483">
      <c r="L483" s="33" t="n"/>
    </row>
    <row r="484">
      <c r="L484" s="33" t="n"/>
    </row>
    <row r="485">
      <c r="L485" s="33" t="n"/>
    </row>
    <row r="486">
      <c r="L486" s="33" t="n"/>
    </row>
    <row r="487">
      <c r="L487" s="33" t="n"/>
    </row>
    <row r="488">
      <c r="L488" s="33" t="n"/>
    </row>
    <row r="489">
      <c r="L489" s="33" t="n"/>
    </row>
    <row r="490">
      <c r="L490" s="33" t="n"/>
    </row>
    <row r="491">
      <c r="L491" s="33" t="n"/>
    </row>
    <row r="492">
      <c r="L492" s="33" t="n"/>
    </row>
    <row r="493">
      <c r="L493" s="33" t="n"/>
    </row>
    <row r="494">
      <c r="L494" s="33" t="n"/>
    </row>
    <row r="495">
      <c r="L495" s="33" t="n"/>
    </row>
    <row r="496">
      <c r="L496" s="33" t="n"/>
    </row>
    <row r="497">
      <c r="L497" s="33" t="n"/>
    </row>
    <row r="498">
      <c r="L498" s="33" t="n"/>
    </row>
    <row r="499">
      <c r="L499" s="33" t="n"/>
    </row>
    <row r="500">
      <c r="L500" s="33" t="n"/>
    </row>
  </sheetData>
  <autoFilter ref="A5:O37"/>
  <mergeCells count="3">
    <mergeCell ref="A1:O1"/>
    <mergeCell ref="A4:O4"/>
    <mergeCell ref="A2:O2"/>
  </mergeCells>
  <conditionalFormatting sqref="J6:J500">
    <cfRule type="expression" priority="1" dxfId="0">
      <formula>$J6="Hoàn thành"</formula>
    </cfRule>
    <cfRule type="expression" priority="2" dxfId="1">
      <formula>$J6="Đang làm"</formula>
    </cfRule>
    <cfRule type="expression" priority="3" dxfId="2">
      <formula>$J6="Bị chặn"</formula>
    </cfRule>
  </conditionalFormatting>
  <conditionalFormatting sqref="I6:I500">
    <cfRule type="expression" priority="4" dxfId="3">
      <formula>$I6="Cao"</formula>
    </cfRule>
    <cfRule type="expression" priority="5" dxfId="1">
      <formula>$I6="Trung bình"</formula>
    </cfRule>
    <cfRule type="expression" priority="6" dxfId="4">
      <formula>$I6="Thấp"</formula>
    </cfRule>
  </conditionalFormatting>
  <conditionalFormatting sqref="A6:O37">
    <cfRule type="expression" priority="7" dxfId="5">
      <formula>$J6="Bị chặn"</formula>
    </cfRule>
  </conditionalFormatting>
  <dataValidations count="3">
    <dataValidation sqref="J6:J500" showDropDown="0" showInputMessage="0" showErrorMessage="0" allowBlank="1" type="list">
      <formula1>"Chưa bắt đầu,Đang làm,Bị chặn,Hoàn thành,Không áp dụng"</formula1>
    </dataValidation>
    <dataValidation sqref="I6:I500" showDropDown="0" showInputMessage="0" showErrorMessage="0" allowBlank="1" type="list">
      <formula1>"Cao,Trung bình,Thấp"</formula1>
    </dataValidation>
    <dataValidation sqref="D6:D500" showDropDown="0" showInputMessage="0" showErrorMessage="0" allowBlank="0" type="list">
      <formula1>"M1,M2,M3"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O50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4" customWidth="1" min="3" max="3"/>
    <col width="11" customWidth="1" min="4" max="4"/>
    <col width="12" customWidth="1" min="5" max="5"/>
    <col width="18" customWidth="1" min="6" max="6"/>
    <col width="34" customWidth="1" min="7" max="7"/>
    <col width="56" customWidth="1" min="8" max="8"/>
    <col width="13" customWidth="1" min="9" max="9"/>
    <col width="16" customWidth="1" min="10" max="10"/>
    <col width="16" customWidth="1" min="11" max="11"/>
    <col width="14" customWidth="1" min="12" max="12"/>
    <col width="30" customWidth="1" min="13" max="13"/>
    <col width="28" customWidth="1" min="14" max="14"/>
    <col width="22" customWidth="1" min="15" max="15"/>
  </cols>
  <sheetData>
    <row r="1" ht="32" customHeight="1">
      <c r="A1" s="1" t="inlineStr">
        <is>
          <t>Web/Admin + Backend Feature Checklist</t>
        </is>
      </c>
    </row>
    <row r="2" ht="28" customHeight="1">
      <c r="A2" s="3" t="inlineStr">
        <is>
          <t>Feature-first checklist for admin web, backend, notification infrastructure, and operational handoff.</t>
        </is>
      </c>
    </row>
    <row r="4">
      <c r="A4" s="27" t="inlineStr">
        <is>
          <t>Use filters/dropdowns to track work by feature, milestone, owner, and status.</t>
        </is>
      </c>
    </row>
    <row r="5" ht="30" customHeight="1">
      <c r="A5" s="28" t="inlineStr">
        <is>
          <t>ID</t>
        </is>
      </c>
      <c r="B5" s="28" t="inlineStr">
        <is>
          <t>Area</t>
        </is>
      </c>
      <c r="C5" s="28" t="inlineStr">
        <is>
          <t>Feature</t>
        </is>
      </c>
      <c r="D5" s="28" t="inlineStr">
        <is>
          <t>Milestone</t>
        </is>
      </c>
      <c r="E5" s="28" t="inlineStr">
        <is>
          <t>Budget USD</t>
        </is>
      </c>
      <c r="F5" s="28" t="inlineStr">
        <is>
          <t>Workstream</t>
        </is>
      </c>
      <c r="G5" s="28" t="inlineStr">
        <is>
          <t>Checklist Item</t>
        </is>
      </c>
      <c r="H5" s="28" t="inlineStr">
        <is>
          <t>Acceptance / Deliverable</t>
        </is>
      </c>
      <c r="I5" s="28" t="inlineStr">
        <is>
          <t>Priority</t>
        </is>
      </c>
      <c r="J5" s="28" t="inlineStr">
        <is>
          <t>Status</t>
        </is>
      </c>
      <c r="K5" s="28" t="inlineStr">
        <is>
          <t>Owner</t>
        </is>
      </c>
      <c r="L5" s="28" t="inlineStr">
        <is>
          <t>Due Date</t>
        </is>
      </c>
      <c r="M5" s="28" t="inlineStr">
        <is>
          <t>Dependencies</t>
        </is>
      </c>
      <c r="N5" s="28" t="inlineStr">
        <is>
          <t>Notes</t>
        </is>
      </c>
      <c r="O5" s="28" t="inlineStr">
        <is>
          <t>Source</t>
        </is>
      </c>
    </row>
    <row r="6" ht="42" customHeight="1">
      <c r="A6" s="29" t="inlineStr">
        <is>
          <t>WEB-001</t>
        </is>
      </c>
      <c r="B6" s="29" t="inlineStr">
        <is>
          <t>Web/Admin + Backend</t>
        </is>
      </c>
      <c r="C6" s="29" t="inlineStr">
        <is>
          <t>Backend Foundation</t>
        </is>
      </c>
      <c r="D6" s="30" t="inlineStr">
        <is>
          <t>M2</t>
        </is>
      </c>
      <c r="E6" s="31" t="inlineStr">
        <is>
          <t>$280</t>
        </is>
      </c>
      <c r="F6" s="29" t="inlineStr">
        <is>
          <t>Supabase</t>
        </is>
      </c>
      <c r="G6" s="29" t="inlineStr">
        <is>
          <t>Supabase project and schema</t>
        </is>
      </c>
      <c r="H6" s="29" t="inlineStr">
        <is>
          <t>Backend stores user profiles and core app records in Supabase.</t>
        </is>
      </c>
      <c r="I6" s="30" t="inlineStr">
        <is>
          <t>Cao</t>
        </is>
      </c>
      <c r="J6" s="30" t="inlineStr">
        <is>
          <t>Chưa bắt đầu</t>
        </is>
      </c>
      <c r="K6" s="30" t="inlineStr"/>
      <c r="L6" s="32" t="inlineStr"/>
      <c r="M6" s="29" t="inlineStr">
        <is>
          <t>Project credentials</t>
        </is>
      </c>
      <c r="N6" s="29" t="inlineStr"/>
      <c r="O6" s="29" t="inlineStr">
        <is>
          <t>Overview #3; Milestone 2</t>
        </is>
      </c>
    </row>
    <row r="7" ht="42" customHeight="1">
      <c r="A7" s="29" t="inlineStr">
        <is>
          <t>WEB-002</t>
        </is>
      </c>
      <c r="B7" s="29" t="inlineStr">
        <is>
          <t>Web/Admin + Backend</t>
        </is>
      </c>
      <c r="C7" s="29" t="inlineStr">
        <is>
          <t>Backend Foundation</t>
        </is>
      </c>
      <c r="D7" s="30" t="inlineStr">
        <is>
          <t>M2</t>
        </is>
      </c>
      <c r="E7" s="31" t="inlineStr">
        <is>
          <t>$280</t>
        </is>
      </c>
      <c r="F7" s="29" t="inlineStr">
        <is>
          <t>User Profile</t>
        </is>
      </c>
      <c r="G7" s="29" t="inlineStr">
        <is>
          <t>User profile persistence</t>
        </is>
      </c>
      <c r="H7" s="29" t="inlineStr">
        <is>
          <t>Profile data created/updated from auth and app flows is persisted consistently.</t>
        </is>
      </c>
      <c r="I7" s="30" t="inlineStr">
        <is>
          <t>Cao</t>
        </is>
      </c>
      <c r="J7" s="30" t="inlineStr">
        <is>
          <t>Chưa bắt đầu</t>
        </is>
      </c>
      <c r="K7" s="30" t="inlineStr"/>
      <c r="L7" s="32" t="inlineStr"/>
      <c r="M7" s="29" t="inlineStr">
        <is>
          <t>Auth integration</t>
        </is>
      </c>
      <c r="N7" s="29" t="inlineStr"/>
      <c r="O7" s="29" t="inlineStr">
        <is>
          <t>Milestone 2</t>
        </is>
      </c>
    </row>
    <row r="8" ht="42" customHeight="1">
      <c r="A8" s="29" t="inlineStr">
        <is>
          <t>WEB-003</t>
        </is>
      </c>
      <c r="B8" s="29" t="inlineStr">
        <is>
          <t>Web/Admin + Backend</t>
        </is>
      </c>
      <c r="C8" s="29" t="inlineStr">
        <is>
          <t>Device Mapping</t>
        </is>
      </c>
      <c r="D8" s="30" t="inlineStr">
        <is>
          <t>M2</t>
        </is>
      </c>
      <c r="E8" s="31" t="inlineStr">
        <is>
          <t>$280</t>
        </is>
      </c>
      <c r="F8" s="29" t="inlineStr">
        <is>
          <t>Data Model</t>
        </is>
      </c>
      <c r="G8" s="29" t="inlineStr">
        <is>
          <t>Device mapping storage</t>
        </is>
      </c>
      <c r="H8" s="29" t="inlineStr">
        <is>
          <t>Backend stores mapping between app user, Tuya Home, and linked devices.</t>
        </is>
      </c>
      <c r="I8" s="30" t="inlineStr">
        <is>
          <t>Cao</t>
        </is>
      </c>
      <c r="J8" s="30" t="inlineStr">
        <is>
          <t>Chưa bắt đầu</t>
        </is>
      </c>
      <c r="K8" s="30" t="inlineStr"/>
      <c r="L8" s="32" t="inlineStr"/>
      <c r="M8" s="29" t="inlineStr">
        <is>
          <t>Successful Tuya pairing</t>
        </is>
      </c>
      <c r="N8" s="29" t="inlineStr"/>
      <c r="O8" s="29" t="inlineStr">
        <is>
          <t>Milestone 2</t>
        </is>
      </c>
    </row>
    <row r="9" ht="42" customHeight="1">
      <c r="A9" s="29" t="inlineStr">
        <is>
          <t>WEB-004</t>
        </is>
      </c>
      <c r="B9" s="29" t="inlineStr">
        <is>
          <t>Web/Admin + Backend</t>
        </is>
      </c>
      <c r="C9" s="29" t="inlineStr">
        <is>
          <t>Device Mapping</t>
        </is>
      </c>
      <c r="D9" s="30" t="inlineStr">
        <is>
          <t>M2</t>
        </is>
      </c>
      <c r="E9" s="31" t="inlineStr">
        <is>
          <t>$280</t>
        </is>
      </c>
      <c r="F9" s="29" t="inlineStr">
        <is>
          <t>Sync</t>
        </is>
      </c>
      <c r="G9" s="29" t="inlineStr">
        <is>
          <t>Device mapping sync API</t>
        </is>
      </c>
      <c r="H9" s="29" t="inlineStr">
        <is>
          <t>App can read/write device mapping through stable backend/Vercel APIs.</t>
        </is>
      </c>
      <c r="I9" s="30" t="inlineStr">
        <is>
          <t>Cao</t>
        </is>
      </c>
      <c r="J9" s="30" t="inlineStr">
        <is>
          <t>Chưa bắt đầu</t>
        </is>
      </c>
      <c r="K9" s="30" t="inlineStr"/>
      <c r="L9" s="32" t="inlineStr"/>
      <c r="M9" s="29" t="inlineStr">
        <is>
          <t>Vercel API setup</t>
        </is>
      </c>
      <c r="N9" s="29" t="inlineStr"/>
      <c r="O9" s="29" t="inlineStr">
        <is>
          <t>Milestone 2</t>
        </is>
      </c>
    </row>
    <row r="10" ht="42" customHeight="1">
      <c r="A10" s="29" t="inlineStr">
        <is>
          <t>WEB-005</t>
        </is>
      </c>
      <c r="B10" s="29" t="inlineStr">
        <is>
          <t>Web/Admin + Backend</t>
        </is>
      </c>
      <c r="C10" s="29" t="inlineStr">
        <is>
          <t>Backend APIs</t>
        </is>
      </c>
      <c r="D10" s="30" t="inlineStr">
        <is>
          <t>M2</t>
        </is>
      </c>
      <c r="E10" s="31" t="inlineStr">
        <is>
          <t>$280</t>
        </is>
      </c>
      <c r="F10" s="29" t="inlineStr">
        <is>
          <t>Vercel</t>
        </is>
      </c>
      <c r="G10" s="29" t="inlineStr">
        <is>
          <t>Vercel API deployment</t>
        </is>
      </c>
      <c r="H10" s="29" t="inlineStr">
        <is>
          <t>Backend APIs are deployed on Vercel and reachable by the mobile app.</t>
        </is>
      </c>
      <c r="I10" s="30" t="inlineStr">
        <is>
          <t>Cao</t>
        </is>
      </c>
      <c r="J10" s="30" t="inlineStr">
        <is>
          <t>Chưa bắt đầu</t>
        </is>
      </c>
      <c r="K10" s="30" t="inlineStr"/>
      <c r="L10" s="32" t="inlineStr"/>
      <c r="M10" s="29" t="inlineStr">
        <is>
          <t>Environment variables</t>
        </is>
      </c>
      <c r="N10" s="29" t="inlineStr"/>
      <c r="O10" s="29" t="inlineStr">
        <is>
          <t>Overview #3; Milestone 2</t>
        </is>
      </c>
    </row>
    <row r="11" ht="42" customHeight="1">
      <c r="A11" s="29" t="inlineStr">
        <is>
          <t>WEB-006</t>
        </is>
      </c>
      <c r="B11" s="29" t="inlineStr">
        <is>
          <t>Web/Admin + Backend</t>
        </is>
      </c>
      <c r="C11" s="29" t="inlineStr">
        <is>
          <t>Backend APIs</t>
        </is>
      </c>
      <c r="D11" s="30" t="inlineStr">
        <is>
          <t>M2</t>
        </is>
      </c>
      <c r="E11" s="31" t="inlineStr">
        <is>
          <t>$280</t>
        </is>
      </c>
      <c r="F11" s="29" t="inlineStr">
        <is>
          <t>Sync</t>
        </is>
      </c>
      <c r="G11" s="29" t="inlineStr">
        <is>
          <t>Stable app/backend data sync</t>
        </is>
      </c>
      <c r="H11" s="29" t="inlineStr">
        <is>
          <t>User profile, device mapping, and usage data sync without data loss in normal flows.</t>
        </is>
      </c>
      <c r="I11" s="30" t="inlineStr">
        <is>
          <t>Cao</t>
        </is>
      </c>
      <c r="J11" s="30" t="inlineStr">
        <is>
          <t>Chưa bắt đầu</t>
        </is>
      </c>
      <c r="K11" s="30" t="inlineStr"/>
      <c r="L11" s="32" t="inlineStr"/>
      <c r="M11" s="29" t="inlineStr">
        <is>
          <t>Supabase schema complete</t>
        </is>
      </c>
      <c r="N11" s="29" t="inlineStr"/>
      <c r="O11" s="29" t="inlineStr">
        <is>
          <t>Milestone 2 deliverable</t>
        </is>
      </c>
    </row>
    <row r="12" ht="42" customHeight="1">
      <c r="A12" s="29" t="inlineStr">
        <is>
          <t>WEB-007</t>
        </is>
      </c>
      <c r="B12" s="29" t="inlineStr">
        <is>
          <t>Web/Admin + Backend</t>
        </is>
      </c>
      <c r="C12" s="29" t="inlineStr">
        <is>
          <t>Admin Panel</t>
        </is>
      </c>
      <c r="D12" s="30" t="inlineStr">
        <is>
          <t>M2</t>
        </is>
      </c>
      <c r="E12" s="31" t="inlineStr">
        <is>
          <t>$280</t>
        </is>
      </c>
      <c r="F12" s="29" t="inlineStr">
        <is>
          <t>Admin UI</t>
        </is>
      </c>
      <c r="G12" s="29" t="inlineStr">
        <is>
          <t>Admin access control</t>
        </is>
      </c>
      <c r="H12" s="29" t="inlineStr">
        <is>
          <t>Admin panel is protected so only authorized admins can access operational data.</t>
        </is>
      </c>
      <c r="I12" s="30" t="inlineStr">
        <is>
          <t>Cao</t>
        </is>
      </c>
      <c r="J12" s="30" t="inlineStr">
        <is>
          <t>Chưa bắt đầu</t>
        </is>
      </c>
      <c r="K12" s="30" t="inlineStr"/>
      <c r="L12" s="32" t="inlineStr"/>
      <c r="M12" s="29" t="inlineStr">
        <is>
          <t>Admin identity/role model</t>
        </is>
      </c>
      <c r="N12" s="29" t="inlineStr"/>
      <c r="O12" s="29" t="inlineStr">
        <is>
          <t>Overview #4; Milestone 2</t>
        </is>
      </c>
    </row>
    <row r="13" ht="42" customHeight="1">
      <c r="A13" s="29" t="inlineStr">
        <is>
          <t>WEB-008</t>
        </is>
      </c>
      <c r="B13" s="29" t="inlineStr">
        <is>
          <t>Web/Admin + Backend</t>
        </is>
      </c>
      <c r="C13" s="29" t="inlineStr">
        <is>
          <t>Admin Panel</t>
        </is>
      </c>
      <c r="D13" s="30" t="inlineStr">
        <is>
          <t>M2</t>
        </is>
      </c>
      <c r="E13" s="31" t="inlineStr">
        <is>
          <t>$280</t>
        </is>
      </c>
      <c r="F13" s="29" t="inlineStr">
        <is>
          <t>Admin UI</t>
        </is>
      </c>
      <c r="G13" s="29" t="inlineStr">
        <is>
          <t>User list view</t>
        </is>
      </c>
      <c r="H13" s="29" t="inlineStr">
        <is>
          <t>Admin can view the user list with relevant account/profile fields.</t>
        </is>
      </c>
      <c r="I13" s="30" t="inlineStr">
        <is>
          <t>Cao</t>
        </is>
      </c>
      <c r="J13" s="30" t="inlineStr">
        <is>
          <t>Chưa bắt đầu</t>
        </is>
      </c>
      <c r="K13" s="30" t="inlineStr"/>
      <c r="L13" s="32" t="inlineStr"/>
      <c r="M13" s="29" t="inlineStr">
        <is>
          <t>User profile table</t>
        </is>
      </c>
      <c r="N13" s="29" t="inlineStr"/>
      <c r="O13" s="29" t="inlineStr">
        <is>
          <t>Milestone 2</t>
        </is>
      </c>
    </row>
    <row r="14" ht="42" customHeight="1">
      <c r="A14" s="29" t="inlineStr">
        <is>
          <t>WEB-009</t>
        </is>
      </c>
      <c r="B14" s="29" t="inlineStr">
        <is>
          <t>Web/Admin + Backend</t>
        </is>
      </c>
      <c r="C14" s="29" t="inlineStr">
        <is>
          <t>Admin Panel</t>
        </is>
      </c>
      <c r="D14" s="30" t="inlineStr">
        <is>
          <t>M2</t>
        </is>
      </c>
      <c r="E14" s="31" t="inlineStr">
        <is>
          <t>$280</t>
        </is>
      </c>
      <c r="F14" s="29" t="inlineStr">
        <is>
          <t>Admin UI</t>
        </is>
      </c>
      <c r="G14" s="29" t="inlineStr">
        <is>
          <t>Linked device view</t>
        </is>
      </c>
      <c r="H14" s="29" t="inlineStr">
        <is>
          <t>Admin can view linked devices per user/home.</t>
        </is>
      </c>
      <c r="I14" s="30" t="inlineStr">
        <is>
          <t>Cao</t>
        </is>
      </c>
      <c r="J14" s="30" t="inlineStr">
        <is>
          <t>Chưa bắt đầu</t>
        </is>
      </c>
      <c r="K14" s="30" t="inlineStr"/>
      <c r="L14" s="32" t="inlineStr"/>
      <c r="M14" s="29" t="inlineStr">
        <is>
          <t>Device mapping table</t>
        </is>
      </c>
      <c r="N14" s="29" t="inlineStr"/>
      <c r="O14" s="29" t="inlineStr">
        <is>
          <t>Overview #4; Milestone 2</t>
        </is>
      </c>
    </row>
    <row r="15" ht="42" customHeight="1">
      <c r="A15" s="29" t="inlineStr">
        <is>
          <t>WEB-010</t>
        </is>
      </c>
      <c r="B15" s="29" t="inlineStr">
        <is>
          <t>Web/Admin + Backend</t>
        </is>
      </c>
      <c r="C15" s="29" t="inlineStr">
        <is>
          <t>Admin Panel</t>
        </is>
      </c>
      <c r="D15" s="30" t="inlineStr">
        <is>
          <t>M2</t>
        </is>
      </c>
      <c r="E15" s="31" t="inlineStr">
        <is>
          <t>$280</t>
        </is>
      </c>
      <c r="F15" s="29" t="inlineStr">
        <is>
          <t>Admin UI</t>
        </is>
      </c>
      <c r="G15" s="29" t="inlineStr">
        <is>
          <t>Device status monitoring</t>
        </is>
      </c>
      <c r="H15" s="29" t="inlineStr">
        <is>
          <t>Admin can monitor device online/status information where available.</t>
        </is>
      </c>
      <c r="I15" s="30" t="inlineStr">
        <is>
          <t>Trung bình</t>
        </is>
      </c>
      <c r="J15" s="30" t="inlineStr">
        <is>
          <t>Chưa bắt đầu</t>
        </is>
      </c>
      <c r="K15" s="30" t="inlineStr"/>
      <c r="L15" s="32" t="inlineStr"/>
      <c r="M15" s="29" t="inlineStr">
        <is>
          <t>Tuya status data availability</t>
        </is>
      </c>
      <c r="N15" s="29" t="inlineStr"/>
      <c r="O15" s="29" t="inlineStr">
        <is>
          <t>Milestone 2</t>
        </is>
      </c>
    </row>
    <row r="16" ht="42" customHeight="1">
      <c r="A16" s="29" t="inlineStr">
        <is>
          <t>WEB-011</t>
        </is>
      </c>
      <c r="B16" s="29" t="inlineStr">
        <is>
          <t>Web/Admin + Backend</t>
        </is>
      </c>
      <c r="C16" s="29" t="inlineStr">
        <is>
          <t>Admin Panel</t>
        </is>
      </c>
      <c r="D16" s="30" t="inlineStr">
        <is>
          <t>M2</t>
        </is>
      </c>
      <c r="E16" s="31" t="inlineStr">
        <is>
          <t>$280</t>
        </is>
      </c>
      <c r="F16" s="29" t="inlineStr">
        <is>
          <t>Admin UI</t>
        </is>
      </c>
      <c r="G16" s="29" t="inlineStr">
        <is>
          <t>Usage data view</t>
        </is>
      </c>
      <c r="H16" s="29" t="inlineStr">
        <is>
          <t>Admin can view basic usage data required for operations.</t>
        </is>
      </c>
      <c r="I16" s="30" t="inlineStr">
        <is>
          <t>Trung bình</t>
        </is>
      </c>
      <c r="J16" s="30" t="inlineStr">
        <is>
          <t>Chưa bắt đầu</t>
        </is>
      </c>
      <c r="K16" s="30" t="inlineStr"/>
      <c r="L16" s="32" t="inlineStr"/>
      <c r="M16" s="29" t="inlineStr">
        <is>
          <t>Usage events stored</t>
        </is>
      </c>
      <c r="N16" s="29" t="inlineStr"/>
      <c r="O16" s="29" t="inlineStr">
        <is>
          <t>Overview #4; Milestone 2</t>
        </is>
      </c>
    </row>
    <row r="17" ht="42" customHeight="1">
      <c r="A17" s="29" t="inlineStr">
        <is>
          <t>WEB-012</t>
        </is>
      </c>
      <c r="B17" s="29" t="inlineStr">
        <is>
          <t>Web/Admin + Backend</t>
        </is>
      </c>
      <c r="C17" s="29" t="inlineStr">
        <is>
          <t>Home Management Backend</t>
        </is>
      </c>
      <c r="D17" s="30" t="inlineStr">
        <is>
          <t>M2</t>
        </is>
      </c>
      <c r="E17" s="31" t="inlineStr">
        <is>
          <t>$280</t>
        </is>
      </c>
      <c r="F17" s="29" t="inlineStr">
        <is>
          <t>Data Model</t>
        </is>
      </c>
      <c r="G17" s="29" t="inlineStr">
        <is>
          <t>Rooms and device permissions persistence</t>
        </is>
      </c>
      <c r="H17" s="29" t="inlineStr">
        <is>
          <t>Room assignment and permission-related records are stored and retrievable.</t>
        </is>
      </c>
      <c r="I17" s="30" t="inlineStr">
        <is>
          <t>Trung bình</t>
        </is>
      </c>
      <c r="J17" s="30" t="inlineStr">
        <is>
          <t>Chưa bắt đầu</t>
        </is>
      </c>
      <c r="K17" s="30" t="inlineStr"/>
      <c r="L17" s="32" t="inlineStr"/>
      <c r="M17" s="29" t="inlineStr">
        <is>
          <t>Home management UI/API</t>
        </is>
      </c>
      <c r="N17" s="29" t="inlineStr"/>
      <c r="O17" s="29" t="inlineStr">
        <is>
          <t>Milestone 2</t>
        </is>
      </c>
    </row>
    <row r="18" ht="42" customHeight="1">
      <c r="A18" s="29" t="inlineStr">
        <is>
          <t>WEB-013</t>
        </is>
      </c>
      <c r="B18" s="29" t="inlineStr">
        <is>
          <t>Web/Admin + Backend</t>
        </is>
      </c>
      <c r="C18" s="29" t="inlineStr">
        <is>
          <t>Notifications Backend</t>
        </is>
      </c>
      <c r="D18" s="30" t="inlineStr">
        <is>
          <t>M3</t>
        </is>
      </c>
      <c r="E18" s="31" t="inlineStr">
        <is>
          <t>$170</t>
        </is>
      </c>
      <c r="F18" s="29" t="inlineStr">
        <is>
          <t>FCM</t>
        </is>
      </c>
      <c r="G18" s="29" t="inlineStr">
        <is>
          <t>Firebase/FCM backend setup</t>
        </is>
      </c>
      <c r="H18" s="29" t="inlineStr">
        <is>
          <t>Backend can send push notifications through Firebase Cloud Messaging.</t>
        </is>
      </c>
      <c r="I18" s="30" t="inlineStr">
        <is>
          <t>Cao</t>
        </is>
      </c>
      <c r="J18" s="30" t="inlineStr">
        <is>
          <t>Chưa bắt đầu</t>
        </is>
      </c>
      <c r="K18" s="30" t="inlineStr"/>
      <c r="L18" s="32" t="inlineStr"/>
      <c r="M18" s="29" t="inlineStr">
        <is>
          <t>Firebase project credentials</t>
        </is>
      </c>
      <c r="N18" s="29" t="inlineStr"/>
      <c r="O18" s="29" t="inlineStr">
        <is>
          <t>Overview #3; Milestone 3</t>
        </is>
      </c>
    </row>
    <row r="19" ht="42" customHeight="1">
      <c r="A19" s="29" t="inlineStr">
        <is>
          <t>WEB-014</t>
        </is>
      </c>
      <c r="B19" s="29" t="inlineStr">
        <is>
          <t>Web/Admin + Backend</t>
        </is>
      </c>
      <c r="C19" s="29" t="inlineStr">
        <is>
          <t>Notifications Backend</t>
        </is>
      </c>
      <c r="D19" s="30" t="inlineStr">
        <is>
          <t>M3</t>
        </is>
      </c>
      <c r="E19" s="31" t="inlineStr">
        <is>
          <t>$170</t>
        </is>
      </c>
      <c r="F19" s="29" t="inlineStr">
        <is>
          <t>Rules</t>
        </is>
      </c>
      <c r="G19" s="29" t="inlineStr">
        <is>
          <t>Cleanup and status alert rules</t>
        </is>
      </c>
      <c r="H19" s="29" t="inlineStr">
        <is>
          <t>Notification rules cover cleanup reminders and device/status alerts.</t>
        </is>
      </c>
      <c r="I19" s="30" t="inlineStr">
        <is>
          <t>Trung bình</t>
        </is>
      </c>
      <c r="J19" s="30" t="inlineStr">
        <is>
          <t>Chưa bắt đầu</t>
        </is>
      </c>
      <c r="K19" s="30" t="inlineStr"/>
      <c r="L19" s="32" t="inlineStr"/>
      <c r="M19" s="29" t="inlineStr">
        <is>
          <t>Token registration</t>
        </is>
      </c>
      <c r="N19" s="29" t="inlineStr"/>
      <c r="O19" s="29" t="inlineStr">
        <is>
          <t>Milestone 3</t>
        </is>
      </c>
    </row>
    <row r="20" ht="42" customHeight="1">
      <c r="A20" s="29" t="inlineStr">
        <is>
          <t>WEB-015</t>
        </is>
      </c>
      <c r="B20" s="29" t="inlineStr">
        <is>
          <t>Web/Admin + Backend</t>
        </is>
      </c>
      <c r="C20" s="29" t="inlineStr">
        <is>
          <t>Filter Reminder Backend</t>
        </is>
      </c>
      <c r="D20" s="30" t="inlineStr">
        <is>
          <t>M3</t>
        </is>
      </c>
      <c r="E20" s="31" t="inlineStr">
        <is>
          <t>$170</t>
        </is>
      </c>
      <c r="F20" s="29" t="inlineStr">
        <is>
          <t>Maintenance</t>
        </is>
      </c>
      <c r="G20" s="29" t="inlineStr">
        <is>
          <t>Filter reminder backend state</t>
        </is>
      </c>
      <c r="H20" s="29" t="inlineStr">
        <is>
          <t>Backend stores filter reminder state and supports reset updates.</t>
        </is>
      </c>
      <c r="I20" s="30" t="inlineStr">
        <is>
          <t>Trung bình</t>
        </is>
      </c>
      <c r="J20" s="30" t="inlineStr">
        <is>
          <t>Chưa bắt đầu</t>
        </is>
      </c>
      <c r="K20" s="30" t="inlineStr"/>
      <c r="L20" s="32" t="inlineStr"/>
      <c r="M20" s="29" t="inlineStr">
        <is>
          <t>User/device mapping</t>
        </is>
      </c>
      <c r="N20" s="29" t="inlineStr"/>
      <c r="O20" s="29" t="inlineStr">
        <is>
          <t>Milestone 3</t>
        </is>
      </c>
    </row>
    <row r="21" ht="42" customHeight="1">
      <c r="A21" s="29" t="inlineStr">
        <is>
          <t>WEB-016</t>
        </is>
      </c>
      <c r="B21" s="29" t="inlineStr">
        <is>
          <t>Web/Admin + Backend</t>
        </is>
      </c>
      <c r="C21" s="29" t="inlineStr">
        <is>
          <t>Operational Delivery</t>
        </is>
      </c>
      <c r="D21" s="30" t="inlineStr">
        <is>
          <t>M3</t>
        </is>
      </c>
      <c r="E21" s="31" t="inlineStr">
        <is>
          <t>$170</t>
        </is>
      </c>
      <c r="F21" s="29" t="inlineStr">
        <is>
          <t>Testing</t>
        </is>
      </c>
      <c r="G21" s="29" t="inlineStr">
        <is>
          <t>Backend/admin test pass</t>
        </is>
      </c>
      <c r="H21" s="29" t="inlineStr">
        <is>
          <t>Backend APIs and admin panel pass core regression testing.</t>
        </is>
      </c>
      <c r="I21" s="30" t="inlineStr">
        <is>
          <t>Cao</t>
        </is>
      </c>
      <c r="J21" s="30" t="inlineStr">
        <is>
          <t>Chưa bắt đầu</t>
        </is>
      </c>
      <c r="K21" s="30" t="inlineStr"/>
      <c r="L21" s="32" t="inlineStr"/>
      <c r="M21" s="29" t="inlineStr">
        <is>
          <t>Feature completion</t>
        </is>
      </c>
      <c r="N21" s="29" t="inlineStr"/>
      <c r="O21" s="29" t="inlineStr">
        <is>
          <t>Milestone 3</t>
        </is>
      </c>
    </row>
    <row r="22" ht="42" customHeight="1">
      <c r="A22" s="29" t="inlineStr">
        <is>
          <t>WEB-017</t>
        </is>
      </c>
      <c r="B22" s="29" t="inlineStr">
        <is>
          <t>Web/Admin + Backend</t>
        </is>
      </c>
      <c r="C22" s="29" t="inlineStr">
        <is>
          <t>Operational Delivery</t>
        </is>
      </c>
      <c r="D22" s="30" t="inlineStr">
        <is>
          <t>M3</t>
        </is>
      </c>
      <c r="E22" s="31" t="inlineStr">
        <is>
          <t>$170</t>
        </is>
      </c>
      <c r="F22" s="29" t="inlineStr">
        <is>
          <t>Deployment</t>
        </is>
      </c>
      <c r="G22" s="29" t="inlineStr">
        <is>
          <t>Production deployment checklist</t>
        </is>
      </c>
      <c r="H22" s="29" t="inlineStr">
        <is>
          <t>Vercel/Supabase/Firebase configuration is documented and deployment-ready.</t>
        </is>
      </c>
      <c r="I22" s="30" t="inlineStr">
        <is>
          <t>Cao</t>
        </is>
      </c>
      <c r="J22" s="30" t="inlineStr">
        <is>
          <t>Chưa bắt đầu</t>
        </is>
      </c>
      <c r="K22" s="30" t="inlineStr"/>
      <c r="L22" s="32" t="inlineStr"/>
      <c r="M22" s="29" t="inlineStr">
        <is>
          <t>Environment review</t>
        </is>
      </c>
      <c r="N22" s="29" t="inlineStr"/>
      <c r="O22" s="29" t="inlineStr">
        <is>
          <t>Milestone 3</t>
        </is>
      </c>
    </row>
    <row r="23" ht="42" customHeight="1">
      <c r="A23" s="29" t="inlineStr">
        <is>
          <t>WEB-018</t>
        </is>
      </c>
      <c r="B23" s="29" t="inlineStr">
        <is>
          <t>Web/Admin + Backend</t>
        </is>
      </c>
      <c r="C23" s="29" t="inlineStr">
        <is>
          <t>Operational Delivery</t>
        </is>
      </c>
      <c r="D23" s="30" t="inlineStr">
        <is>
          <t>M3</t>
        </is>
      </c>
      <c r="E23" s="31" t="inlineStr">
        <is>
          <t>$170</t>
        </is>
      </c>
      <c r="F23" s="29" t="inlineStr">
        <is>
          <t>Handoff</t>
        </is>
      </c>
      <c r="G23" s="29" t="inlineStr">
        <is>
          <t>Source code and handoff docs</t>
        </is>
      </c>
      <c r="H23" s="29" t="inlineStr">
        <is>
          <t>Source code, setup notes, and required credentials/configuration list are handed over.</t>
        </is>
      </c>
      <c r="I23" s="30" t="inlineStr">
        <is>
          <t>Cao</t>
        </is>
      </c>
      <c r="J23" s="30" t="inlineStr">
        <is>
          <t>Chưa bắt đầu</t>
        </is>
      </c>
      <c r="K23" s="30" t="inlineStr"/>
      <c r="L23" s="32" t="inlineStr"/>
      <c r="M23" s="29" t="inlineStr">
        <is>
          <t>Final QA complete</t>
        </is>
      </c>
      <c r="N23" s="29" t="inlineStr"/>
      <c r="O23" s="29" t="inlineStr">
        <is>
          <t>Milestone 3</t>
        </is>
      </c>
    </row>
    <row r="24" ht="42" customHeight="1">
      <c r="A24" s="29" t="inlineStr">
        <is>
          <t>WEB-019</t>
        </is>
      </c>
      <c r="B24" s="29" t="inlineStr">
        <is>
          <t>Web/Admin + Backend</t>
        </is>
      </c>
      <c r="C24" s="29" t="inlineStr">
        <is>
          <t>Tuya Operational Setup</t>
        </is>
      </c>
      <c r="D24" s="30" t="inlineStr">
        <is>
          <t>M1</t>
        </is>
      </c>
      <c r="E24" s="31" t="inlineStr">
        <is>
          <t>$250</t>
        </is>
      </c>
      <c r="F24" s="29" t="inlineStr">
        <is>
          <t>Tuya Cloud</t>
        </is>
      </c>
      <c r="G24" s="29" t="inlineStr">
        <is>
          <t>Tuya Cloud Project region check</t>
        </is>
      </c>
      <c r="H24" s="29" t="inlineStr">
        <is>
          <t>Tuya Cloud Project and Tuya account use the same Data Center.</t>
        </is>
      </c>
      <c r="I24" s="30" t="inlineStr">
        <is>
          <t>Cao</t>
        </is>
      </c>
      <c r="J24" s="30" t="inlineStr">
        <is>
          <t>Chưa bắt đầu</t>
        </is>
      </c>
      <c r="K24" s="30" t="inlineStr"/>
      <c r="L24" s="32" t="inlineStr"/>
      <c r="M24" s="29" t="inlineStr">
        <is>
          <t>Tuya account/cloud access</t>
        </is>
      </c>
      <c r="N24" s="29" t="inlineStr"/>
      <c r="O24" s="29" t="inlineStr">
        <is>
          <t>Technical notes</t>
        </is>
      </c>
    </row>
    <row r="25" ht="42" customHeight="1">
      <c r="A25" s="29" t="inlineStr">
        <is>
          <t>WEB-020</t>
        </is>
      </c>
      <c r="B25" s="29" t="inlineStr">
        <is>
          <t>Web/Admin + Backend</t>
        </is>
      </c>
      <c r="C25" s="29" t="inlineStr">
        <is>
          <t>Tuya Operational Setup</t>
        </is>
      </c>
      <c r="D25" s="30" t="inlineStr">
        <is>
          <t>M1</t>
        </is>
      </c>
      <c r="E25" s="31" t="inlineStr">
        <is>
          <t>$250</t>
        </is>
      </c>
      <c r="F25" s="29" t="inlineStr">
        <is>
          <t>Tuya Home</t>
        </is>
      </c>
      <c r="G25" s="29" t="inlineStr">
        <is>
          <t>Guest account owner check</t>
        </is>
      </c>
      <c r="H25" s="29" t="inlineStr">
        <is>
          <t>Provided guest account is Owner of Tuya Home before SDK linking.</t>
        </is>
      </c>
      <c r="I25" s="30" t="inlineStr">
        <is>
          <t>Cao</t>
        </is>
      </c>
      <c r="J25" s="30" t="inlineStr">
        <is>
          <t>Chưa bắt đầu</t>
        </is>
      </c>
      <c r="K25" s="30" t="inlineStr"/>
      <c r="L25" s="32" t="inlineStr"/>
      <c r="M25" s="29" t="inlineStr">
        <is>
          <t>Tuya Home access</t>
        </is>
      </c>
      <c r="N25" s="29" t="inlineStr"/>
      <c r="O25" s="29" t="inlineStr">
        <is>
          <t>Technical notes</t>
        </is>
      </c>
    </row>
    <row r="26">
      <c r="L26" s="33" t="n"/>
    </row>
    <row r="27">
      <c r="L27" s="33" t="n"/>
    </row>
    <row r="28">
      <c r="L28" s="33" t="n"/>
    </row>
    <row r="29">
      <c r="L29" s="33" t="n"/>
    </row>
    <row r="30">
      <c r="L30" s="33" t="n"/>
    </row>
    <row r="31">
      <c r="L31" s="33" t="n"/>
    </row>
    <row r="32">
      <c r="L32" s="33" t="n"/>
    </row>
    <row r="33">
      <c r="L33" s="33" t="n"/>
    </row>
    <row r="34">
      <c r="L34" s="33" t="n"/>
    </row>
    <row r="35">
      <c r="L35" s="33" t="n"/>
    </row>
    <row r="36">
      <c r="L36" s="33" t="n"/>
    </row>
    <row r="37">
      <c r="L37" s="33" t="n"/>
    </row>
    <row r="38">
      <c r="L38" s="33" t="n"/>
    </row>
    <row r="39">
      <c r="L39" s="33" t="n"/>
    </row>
    <row r="40">
      <c r="L40" s="33" t="n"/>
    </row>
    <row r="41">
      <c r="L41" s="33" t="n"/>
    </row>
    <row r="42">
      <c r="L42" s="33" t="n"/>
    </row>
    <row r="43">
      <c r="L43" s="33" t="n"/>
    </row>
    <row r="44">
      <c r="L44" s="33" t="n"/>
    </row>
    <row r="45">
      <c r="L45" s="33" t="n"/>
    </row>
    <row r="46">
      <c r="L46" s="33" t="n"/>
    </row>
    <row r="47">
      <c r="L47" s="33" t="n"/>
    </row>
    <row r="48">
      <c r="L48" s="33" t="n"/>
    </row>
    <row r="49">
      <c r="L49" s="33" t="n"/>
    </row>
    <row r="50">
      <c r="L50" s="33" t="n"/>
    </row>
    <row r="51">
      <c r="L51" s="33" t="n"/>
    </row>
    <row r="52">
      <c r="L52" s="33" t="n"/>
    </row>
    <row r="53">
      <c r="L53" s="33" t="n"/>
    </row>
    <row r="54">
      <c r="L54" s="33" t="n"/>
    </row>
    <row r="55">
      <c r="L55" s="33" t="n"/>
    </row>
    <row r="56">
      <c r="L56" s="33" t="n"/>
    </row>
    <row r="57">
      <c r="L57" s="33" t="n"/>
    </row>
    <row r="58">
      <c r="L58" s="33" t="n"/>
    </row>
    <row r="59">
      <c r="L59" s="33" t="n"/>
    </row>
    <row r="60">
      <c r="L60" s="33" t="n"/>
    </row>
    <row r="61">
      <c r="L61" s="33" t="n"/>
    </row>
    <row r="62">
      <c r="L62" s="33" t="n"/>
    </row>
    <row r="63">
      <c r="L63" s="33" t="n"/>
    </row>
    <row r="64">
      <c r="L64" s="33" t="n"/>
    </row>
    <row r="65">
      <c r="L65" s="33" t="n"/>
    </row>
    <row r="66">
      <c r="L66" s="33" t="n"/>
    </row>
    <row r="67">
      <c r="L67" s="33" t="n"/>
    </row>
    <row r="68">
      <c r="L68" s="33" t="n"/>
    </row>
    <row r="69">
      <c r="L69" s="33" t="n"/>
    </row>
    <row r="70">
      <c r="L70" s="33" t="n"/>
    </row>
    <row r="71">
      <c r="L71" s="33" t="n"/>
    </row>
    <row r="72">
      <c r="L72" s="33" t="n"/>
    </row>
    <row r="73">
      <c r="L73" s="33" t="n"/>
    </row>
    <row r="74">
      <c r="L74" s="33" t="n"/>
    </row>
    <row r="75">
      <c r="L75" s="33" t="n"/>
    </row>
    <row r="76">
      <c r="L76" s="33" t="n"/>
    </row>
    <row r="77">
      <c r="L77" s="33" t="n"/>
    </row>
    <row r="78">
      <c r="L78" s="33" t="n"/>
    </row>
    <row r="79">
      <c r="L79" s="33" t="n"/>
    </row>
    <row r="80">
      <c r="L80" s="33" t="n"/>
    </row>
    <row r="81">
      <c r="L81" s="33" t="n"/>
    </row>
    <row r="82">
      <c r="L82" s="33" t="n"/>
    </row>
    <row r="83">
      <c r="L83" s="33" t="n"/>
    </row>
    <row r="84">
      <c r="L84" s="33" t="n"/>
    </row>
    <row r="85">
      <c r="L85" s="33" t="n"/>
    </row>
    <row r="86">
      <c r="L86" s="33" t="n"/>
    </row>
    <row r="87">
      <c r="L87" s="33" t="n"/>
    </row>
    <row r="88">
      <c r="L88" s="33" t="n"/>
    </row>
    <row r="89">
      <c r="L89" s="33" t="n"/>
    </row>
    <row r="90">
      <c r="L90" s="33" t="n"/>
    </row>
    <row r="91">
      <c r="L91" s="33" t="n"/>
    </row>
    <row r="92">
      <c r="L92" s="33" t="n"/>
    </row>
    <row r="93">
      <c r="L93" s="33" t="n"/>
    </row>
    <row r="94">
      <c r="L94" s="33" t="n"/>
    </row>
    <row r="95">
      <c r="L95" s="33" t="n"/>
    </row>
    <row r="96">
      <c r="L96" s="33" t="n"/>
    </row>
    <row r="97">
      <c r="L97" s="33" t="n"/>
    </row>
    <row r="98">
      <c r="L98" s="33" t="n"/>
    </row>
    <row r="99">
      <c r="L99" s="33" t="n"/>
    </row>
    <row r="100">
      <c r="L100" s="33" t="n"/>
    </row>
    <row r="101">
      <c r="L101" s="33" t="n"/>
    </row>
    <row r="102">
      <c r="L102" s="33" t="n"/>
    </row>
    <row r="103">
      <c r="L103" s="33" t="n"/>
    </row>
    <row r="104">
      <c r="L104" s="33" t="n"/>
    </row>
    <row r="105">
      <c r="L105" s="33" t="n"/>
    </row>
    <row r="106">
      <c r="L106" s="33" t="n"/>
    </row>
    <row r="107">
      <c r="L107" s="33" t="n"/>
    </row>
    <row r="108">
      <c r="L108" s="33" t="n"/>
    </row>
    <row r="109">
      <c r="L109" s="33" t="n"/>
    </row>
    <row r="110">
      <c r="L110" s="33" t="n"/>
    </row>
    <row r="111">
      <c r="L111" s="33" t="n"/>
    </row>
    <row r="112">
      <c r="L112" s="33" t="n"/>
    </row>
    <row r="113">
      <c r="L113" s="33" t="n"/>
    </row>
    <row r="114">
      <c r="L114" s="33" t="n"/>
    </row>
    <row r="115">
      <c r="L115" s="33" t="n"/>
    </row>
    <row r="116">
      <c r="L116" s="33" t="n"/>
    </row>
    <row r="117">
      <c r="L117" s="33" t="n"/>
    </row>
    <row r="118">
      <c r="L118" s="33" t="n"/>
    </row>
    <row r="119">
      <c r="L119" s="33" t="n"/>
    </row>
    <row r="120">
      <c r="L120" s="33" t="n"/>
    </row>
    <row r="121">
      <c r="L121" s="33" t="n"/>
    </row>
    <row r="122">
      <c r="L122" s="33" t="n"/>
    </row>
    <row r="123">
      <c r="L123" s="33" t="n"/>
    </row>
    <row r="124">
      <c r="L124" s="33" t="n"/>
    </row>
    <row r="125">
      <c r="L125" s="33" t="n"/>
    </row>
    <row r="126">
      <c r="L126" s="33" t="n"/>
    </row>
    <row r="127">
      <c r="L127" s="33" t="n"/>
    </row>
    <row r="128">
      <c r="L128" s="33" t="n"/>
    </row>
    <row r="129">
      <c r="L129" s="33" t="n"/>
    </row>
    <row r="130">
      <c r="L130" s="33" t="n"/>
    </row>
    <row r="131">
      <c r="L131" s="33" t="n"/>
    </row>
    <row r="132">
      <c r="L132" s="33" t="n"/>
    </row>
    <row r="133">
      <c r="L133" s="33" t="n"/>
    </row>
    <row r="134">
      <c r="L134" s="33" t="n"/>
    </row>
    <row r="135">
      <c r="L135" s="33" t="n"/>
    </row>
    <row r="136">
      <c r="L136" s="33" t="n"/>
    </row>
    <row r="137">
      <c r="L137" s="33" t="n"/>
    </row>
    <row r="138">
      <c r="L138" s="33" t="n"/>
    </row>
    <row r="139">
      <c r="L139" s="33" t="n"/>
    </row>
    <row r="140">
      <c r="L140" s="33" t="n"/>
    </row>
    <row r="141">
      <c r="L141" s="33" t="n"/>
    </row>
    <row r="142">
      <c r="L142" s="33" t="n"/>
    </row>
    <row r="143">
      <c r="L143" s="33" t="n"/>
    </row>
    <row r="144">
      <c r="L144" s="33" t="n"/>
    </row>
    <row r="145">
      <c r="L145" s="33" t="n"/>
    </row>
    <row r="146">
      <c r="L146" s="33" t="n"/>
    </row>
    <row r="147">
      <c r="L147" s="33" t="n"/>
    </row>
    <row r="148">
      <c r="L148" s="33" t="n"/>
    </row>
    <row r="149">
      <c r="L149" s="33" t="n"/>
    </row>
    <row r="150">
      <c r="L150" s="33" t="n"/>
    </row>
    <row r="151">
      <c r="L151" s="33" t="n"/>
    </row>
    <row r="152">
      <c r="L152" s="33" t="n"/>
    </row>
    <row r="153">
      <c r="L153" s="33" t="n"/>
    </row>
    <row r="154">
      <c r="L154" s="33" t="n"/>
    </row>
    <row r="155">
      <c r="L155" s="33" t="n"/>
    </row>
    <row r="156">
      <c r="L156" s="33" t="n"/>
    </row>
    <row r="157">
      <c r="L157" s="33" t="n"/>
    </row>
    <row r="158">
      <c r="L158" s="33" t="n"/>
    </row>
    <row r="159">
      <c r="L159" s="33" t="n"/>
    </row>
    <row r="160">
      <c r="L160" s="33" t="n"/>
    </row>
    <row r="161">
      <c r="L161" s="33" t="n"/>
    </row>
    <row r="162">
      <c r="L162" s="33" t="n"/>
    </row>
    <row r="163">
      <c r="L163" s="33" t="n"/>
    </row>
    <row r="164">
      <c r="L164" s="33" t="n"/>
    </row>
    <row r="165">
      <c r="L165" s="33" t="n"/>
    </row>
    <row r="166">
      <c r="L166" s="33" t="n"/>
    </row>
    <row r="167">
      <c r="L167" s="33" t="n"/>
    </row>
    <row r="168">
      <c r="L168" s="33" t="n"/>
    </row>
    <row r="169">
      <c r="L169" s="33" t="n"/>
    </row>
    <row r="170">
      <c r="L170" s="33" t="n"/>
    </row>
    <row r="171">
      <c r="L171" s="33" t="n"/>
    </row>
    <row r="172">
      <c r="L172" s="33" t="n"/>
    </row>
    <row r="173">
      <c r="L173" s="33" t="n"/>
    </row>
    <row r="174">
      <c r="L174" s="33" t="n"/>
    </row>
    <row r="175">
      <c r="L175" s="33" t="n"/>
    </row>
    <row r="176">
      <c r="L176" s="33" t="n"/>
    </row>
    <row r="177">
      <c r="L177" s="33" t="n"/>
    </row>
    <row r="178">
      <c r="L178" s="33" t="n"/>
    </row>
    <row r="179">
      <c r="L179" s="33" t="n"/>
    </row>
    <row r="180">
      <c r="L180" s="33" t="n"/>
    </row>
    <row r="181">
      <c r="L181" s="33" t="n"/>
    </row>
    <row r="182">
      <c r="L182" s="33" t="n"/>
    </row>
    <row r="183">
      <c r="L183" s="33" t="n"/>
    </row>
    <row r="184">
      <c r="L184" s="33" t="n"/>
    </row>
    <row r="185">
      <c r="L185" s="33" t="n"/>
    </row>
    <row r="186">
      <c r="L186" s="33" t="n"/>
    </row>
    <row r="187">
      <c r="L187" s="33" t="n"/>
    </row>
    <row r="188">
      <c r="L188" s="33" t="n"/>
    </row>
    <row r="189">
      <c r="L189" s="33" t="n"/>
    </row>
    <row r="190">
      <c r="L190" s="33" t="n"/>
    </row>
    <row r="191">
      <c r="L191" s="33" t="n"/>
    </row>
    <row r="192">
      <c r="L192" s="33" t="n"/>
    </row>
    <row r="193">
      <c r="L193" s="33" t="n"/>
    </row>
    <row r="194">
      <c r="L194" s="33" t="n"/>
    </row>
    <row r="195">
      <c r="L195" s="33" t="n"/>
    </row>
    <row r="196">
      <c r="L196" s="33" t="n"/>
    </row>
    <row r="197">
      <c r="L197" s="33" t="n"/>
    </row>
    <row r="198">
      <c r="L198" s="33" t="n"/>
    </row>
    <row r="199">
      <c r="L199" s="33" t="n"/>
    </row>
    <row r="200">
      <c r="L200" s="33" t="n"/>
    </row>
    <row r="201">
      <c r="L201" s="33" t="n"/>
    </row>
    <row r="202">
      <c r="L202" s="33" t="n"/>
    </row>
    <row r="203">
      <c r="L203" s="33" t="n"/>
    </row>
    <row r="204">
      <c r="L204" s="33" t="n"/>
    </row>
    <row r="205">
      <c r="L205" s="33" t="n"/>
    </row>
    <row r="206">
      <c r="L206" s="33" t="n"/>
    </row>
    <row r="207">
      <c r="L207" s="33" t="n"/>
    </row>
    <row r="208">
      <c r="L208" s="33" t="n"/>
    </row>
    <row r="209">
      <c r="L209" s="33" t="n"/>
    </row>
    <row r="210">
      <c r="L210" s="33" t="n"/>
    </row>
    <row r="211">
      <c r="L211" s="33" t="n"/>
    </row>
    <row r="212">
      <c r="L212" s="33" t="n"/>
    </row>
    <row r="213">
      <c r="L213" s="33" t="n"/>
    </row>
    <row r="214">
      <c r="L214" s="33" t="n"/>
    </row>
    <row r="215">
      <c r="L215" s="33" t="n"/>
    </row>
    <row r="216">
      <c r="L216" s="33" t="n"/>
    </row>
    <row r="217">
      <c r="L217" s="33" t="n"/>
    </row>
    <row r="218">
      <c r="L218" s="33" t="n"/>
    </row>
    <row r="219">
      <c r="L219" s="33" t="n"/>
    </row>
    <row r="220">
      <c r="L220" s="33" t="n"/>
    </row>
    <row r="221">
      <c r="L221" s="33" t="n"/>
    </row>
    <row r="222">
      <c r="L222" s="33" t="n"/>
    </row>
    <row r="223">
      <c r="L223" s="33" t="n"/>
    </row>
    <row r="224">
      <c r="L224" s="33" t="n"/>
    </row>
    <row r="225">
      <c r="L225" s="33" t="n"/>
    </row>
    <row r="226">
      <c r="L226" s="33" t="n"/>
    </row>
    <row r="227">
      <c r="L227" s="33" t="n"/>
    </row>
    <row r="228">
      <c r="L228" s="33" t="n"/>
    </row>
    <row r="229">
      <c r="L229" s="33" t="n"/>
    </row>
    <row r="230">
      <c r="L230" s="33" t="n"/>
    </row>
    <row r="231">
      <c r="L231" s="33" t="n"/>
    </row>
    <row r="232">
      <c r="L232" s="33" t="n"/>
    </row>
    <row r="233">
      <c r="L233" s="33" t="n"/>
    </row>
    <row r="234">
      <c r="L234" s="33" t="n"/>
    </row>
    <row r="235">
      <c r="L235" s="33" t="n"/>
    </row>
    <row r="236">
      <c r="L236" s="33" t="n"/>
    </row>
    <row r="237">
      <c r="L237" s="33" t="n"/>
    </row>
    <row r="238">
      <c r="L238" s="33" t="n"/>
    </row>
    <row r="239">
      <c r="L239" s="33" t="n"/>
    </row>
    <row r="240">
      <c r="L240" s="33" t="n"/>
    </row>
    <row r="241">
      <c r="L241" s="33" t="n"/>
    </row>
    <row r="242">
      <c r="L242" s="33" t="n"/>
    </row>
    <row r="243">
      <c r="L243" s="33" t="n"/>
    </row>
    <row r="244">
      <c r="L244" s="33" t="n"/>
    </row>
    <row r="245">
      <c r="L245" s="33" t="n"/>
    </row>
    <row r="246">
      <c r="L246" s="33" t="n"/>
    </row>
    <row r="247">
      <c r="L247" s="33" t="n"/>
    </row>
    <row r="248">
      <c r="L248" s="33" t="n"/>
    </row>
    <row r="249">
      <c r="L249" s="33" t="n"/>
    </row>
    <row r="250">
      <c r="L250" s="33" t="n"/>
    </row>
    <row r="251">
      <c r="L251" s="33" t="n"/>
    </row>
    <row r="252">
      <c r="L252" s="33" t="n"/>
    </row>
    <row r="253">
      <c r="L253" s="33" t="n"/>
    </row>
    <row r="254">
      <c r="L254" s="33" t="n"/>
    </row>
    <row r="255">
      <c r="L255" s="33" t="n"/>
    </row>
    <row r="256">
      <c r="L256" s="33" t="n"/>
    </row>
    <row r="257">
      <c r="L257" s="33" t="n"/>
    </row>
    <row r="258">
      <c r="L258" s="33" t="n"/>
    </row>
    <row r="259">
      <c r="L259" s="33" t="n"/>
    </row>
    <row r="260">
      <c r="L260" s="33" t="n"/>
    </row>
    <row r="261">
      <c r="L261" s="33" t="n"/>
    </row>
    <row r="262">
      <c r="L262" s="33" t="n"/>
    </row>
    <row r="263">
      <c r="L263" s="33" t="n"/>
    </row>
    <row r="264">
      <c r="L264" s="33" t="n"/>
    </row>
    <row r="265">
      <c r="L265" s="33" t="n"/>
    </row>
    <row r="266">
      <c r="L266" s="33" t="n"/>
    </row>
    <row r="267">
      <c r="L267" s="33" t="n"/>
    </row>
    <row r="268">
      <c r="L268" s="33" t="n"/>
    </row>
    <row r="269">
      <c r="L269" s="33" t="n"/>
    </row>
    <row r="270">
      <c r="L270" s="33" t="n"/>
    </row>
    <row r="271">
      <c r="L271" s="33" t="n"/>
    </row>
    <row r="272">
      <c r="L272" s="33" t="n"/>
    </row>
    <row r="273">
      <c r="L273" s="33" t="n"/>
    </row>
    <row r="274">
      <c r="L274" s="33" t="n"/>
    </row>
    <row r="275">
      <c r="L275" s="33" t="n"/>
    </row>
    <row r="276">
      <c r="L276" s="33" t="n"/>
    </row>
    <row r="277">
      <c r="L277" s="33" t="n"/>
    </row>
    <row r="278">
      <c r="L278" s="33" t="n"/>
    </row>
    <row r="279">
      <c r="L279" s="33" t="n"/>
    </row>
    <row r="280">
      <c r="L280" s="33" t="n"/>
    </row>
    <row r="281">
      <c r="L281" s="33" t="n"/>
    </row>
    <row r="282">
      <c r="L282" s="33" t="n"/>
    </row>
    <row r="283">
      <c r="L283" s="33" t="n"/>
    </row>
    <row r="284">
      <c r="L284" s="33" t="n"/>
    </row>
    <row r="285">
      <c r="L285" s="33" t="n"/>
    </row>
    <row r="286">
      <c r="L286" s="33" t="n"/>
    </row>
    <row r="287">
      <c r="L287" s="33" t="n"/>
    </row>
    <row r="288">
      <c r="L288" s="33" t="n"/>
    </row>
    <row r="289">
      <c r="L289" s="33" t="n"/>
    </row>
    <row r="290">
      <c r="L290" s="33" t="n"/>
    </row>
    <row r="291">
      <c r="L291" s="33" t="n"/>
    </row>
    <row r="292">
      <c r="L292" s="33" t="n"/>
    </row>
    <row r="293">
      <c r="L293" s="33" t="n"/>
    </row>
    <row r="294">
      <c r="L294" s="33" t="n"/>
    </row>
    <row r="295">
      <c r="L295" s="33" t="n"/>
    </row>
    <row r="296">
      <c r="L296" s="33" t="n"/>
    </row>
    <row r="297">
      <c r="L297" s="33" t="n"/>
    </row>
    <row r="298">
      <c r="L298" s="33" t="n"/>
    </row>
    <row r="299">
      <c r="L299" s="33" t="n"/>
    </row>
    <row r="300">
      <c r="L300" s="33" t="n"/>
    </row>
    <row r="301">
      <c r="L301" s="33" t="n"/>
    </row>
    <row r="302">
      <c r="L302" s="33" t="n"/>
    </row>
    <row r="303">
      <c r="L303" s="33" t="n"/>
    </row>
    <row r="304">
      <c r="L304" s="33" t="n"/>
    </row>
    <row r="305">
      <c r="L305" s="33" t="n"/>
    </row>
    <row r="306">
      <c r="L306" s="33" t="n"/>
    </row>
    <row r="307">
      <c r="L307" s="33" t="n"/>
    </row>
    <row r="308">
      <c r="L308" s="33" t="n"/>
    </row>
    <row r="309">
      <c r="L309" s="33" t="n"/>
    </row>
    <row r="310">
      <c r="L310" s="33" t="n"/>
    </row>
    <row r="311">
      <c r="L311" s="33" t="n"/>
    </row>
    <row r="312">
      <c r="L312" s="33" t="n"/>
    </row>
    <row r="313">
      <c r="L313" s="33" t="n"/>
    </row>
    <row r="314">
      <c r="L314" s="33" t="n"/>
    </row>
    <row r="315">
      <c r="L315" s="33" t="n"/>
    </row>
    <row r="316">
      <c r="L316" s="33" t="n"/>
    </row>
    <row r="317">
      <c r="L317" s="33" t="n"/>
    </row>
    <row r="318">
      <c r="L318" s="33" t="n"/>
    </row>
    <row r="319">
      <c r="L319" s="33" t="n"/>
    </row>
    <row r="320">
      <c r="L320" s="33" t="n"/>
    </row>
    <row r="321">
      <c r="L321" s="33" t="n"/>
    </row>
    <row r="322">
      <c r="L322" s="33" t="n"/>
    </row>
    <row r="323">
      <c r="L323" s="33" t="n"/>
    </row>
    <row r="324">
      <c r="L324" s="33" t="n"/>
    </row>
    <row r="325">
      <c r="L325" s="33" t="n"/>
    </row>
    <row r="326">
      <c r="L326" s="33" t="n"/>
    </row>
    <row r="327">
      <c r="L327" s="33" t="n"/>
    </row>
    <row r="328">
      <c r="L328" s="33" t="n"/>
    </row>
    <row r="329">
      <c r="L329" s="33" t="n"/>
    </row>
    <row r="330">
      <c r="L330" s="33" t="n"/>
    </row>
    <row r="331">
      <c r="L331" s="33" t="n"/>
    </row>
    <row r="332">
      <c r="L332" s="33" t="n"/>
    </row>
    <row r="333">
      <c r="L333" s="33" t="n"/>
    </row>
    <row r="334">
      <c r="L334" s="33" t="n"/>
    </row>
    <row r="335">
      <c r="L335" s="33" t="n"/>
    </row>
    <row r="336">
      <c r="L336" s="33" t="n"/>
    </row>
    <row r="337">
      <c r="L337" s="33" t="n"/>
    </row>
    <row r="338">
      <c r="L338" s="33" t="n"/>
    </row>
    <row r="339">
      <c r="L339" s="33" t="n"/>
    </row>
    <row r="340">
      <c r="L340" s="33" t="n"/>
    </row>
    <row r="341">
      <c r="L341" s="33" t="n"/>
    </row>
    <row r="342">
      <c r="L342" s="33" t="n"/>
    </row>
    <row r="343">
      <c r="L343" s="33" t="n"/>
    </row>
    <row r="344">
      <c r="L344" s="33" t="n"/>
    </row>
    <row r="345">
      <c r="L345" s="33" t="n"/>
    </row>
    <row r="346">
      <c r="L346" s="33" t="n"/>
    </row>
    <row r="347">
      <c r="L347" s="33" t="n"/>
    </row>
    <row r="348">
      <c r="L348" s="33" t="n"/>
    </row>
    <row r="349">
      <c r="L349" s="33" t="n"/>
    </row>
    <row r="350">
      <c r="L350" s="33" t="n"/>
    </row>
    <row r="351">
      <c r="L351" s="33" t="n"/>
    </row>
    <row r="352">
      <c r="L352" s="33" t="n"/>
    </row>
    <row r="353">
      <c r="L353" s="33" t="n"/>
    </row>
    <row r="354">
      <c r="L354" s="33" t="n"/>
    </row>
    <row r="355">
      <c r="L355" s="33" t="n"/>
    </row>
    <row r="356">
      <c r="L356" s="33" t="n"/>
    </row>
    <row r="357">
      <c r="L357" s="33" t="n"/>
    </row>
    <row r="358">
      <c r="L358" s="33" t="n"/>
    </row>
    <row r="359">
      <c r="L359" s="33" t="n"/>
    </row>
    <row r="360">
      <c r="L360" s="33" t="n"/>
    </row>
    <row r="361">
      <c r="L361" s="33" t="n"/>
    </row>
    <row r="362">
      <c r="L362" s="33" t="n"/>
    </row>
    <row r="363">
      <c r="L363" s="33" t="n"/>
    </row>
    <row r="364">
      <c r="L364" s="33" t="n"/>
    </row>
    <row r="365">
      <c r="L365" s="33" t="n"/>
    </row>
    <row r="366">
      <c r="L366" s="33" t="n"/>
    </row>
    <row r="367">
      <c r="L367" s="33" t="n"/>
    </row>
    <row r="368">
      <c r="L368" s="33" t="n"/>
    </row>
    <row r="369">
      <c r="L369" s="33" t="n"/>
    </row>
    <row r="370">
      <c r="L370" s="33" t="n"/>
    </row>
    <row r="371">
      <c r="L371" s="33" t="n"/>
    </row>
    <row r="372">
      <c r="L372" s="33" t="n"/>
    </row>
    <row r="373">
      <c r="L373" s="33" t="n"/>
    </row>
    <row r="374">
      <c r="L374" s="33" t="n"/>
    </row>
    <row r="375">
      <c r="L375" s="33" t="n"/>
    </row>
    <row r="376">
      <c r="L376" s="33" t="n"/>
    </row>
    <row r="377">
      <c r="L377" s="33" t="n"/>
    </row>
    <row r="378">
      <c r="L378" s="33" t="n"/>
    </row>
    <row r="379">
      <c r="L379" s="33" t="n"/>
    </row>
    <row r="380">
      <c r="L380" s="33" t="n"/>
    </row>
    <row r="381">
      <c r="L381" s="33" t="n"/>
    </row>
    <row r="382">
      <c r="L382" s="33" t="n"/>
    </row>
    <row r="383">
      <c r="L383" s="33" t="n"/>
    </row>
    <row r="384">
      <c r="L384" s="33" t="n"/>
    </row>
    <row r="385">
      <c r="L385" s="33" t="n"/>
    </row>
    <row r="386">
      <c r="L386" s="33" t="n"/>
    </row>
    <row r="387">
      <c r="L387" s="33" t="n"/>
    </row>
    <row r="388">
      <c r="L388" s="33" t="n"/>
    </row>
    <row r="389">
      <c r="L389" s="33" t="n"/>
    </row>
    <row r="390">
      <c r="L390" s="33" t="n"/>
    </row>
    <row r="391">
      <c r="L391" s="33" t="n"/>
    </row>
    <row r="392">
      <c r="L392" s="33" t="n"/>
    </row>
    <row r="393">
      <c r="L393" s="33" t="n"/>
    </row>
    <row r="394">
      <c r="L394" s="33" t="n"/>
    </row>
    <row r="395">
      <c r="L395" s="33" t="n"/>
    </row>
    <row r="396">
      <c r="L396" s="33" t="n"/>
    </row>
    <row r="397">
      <c r="L397" s="33" t="n"/>
    </row>
    <row r="398">
      <c r="L398" s="33" t="n"/>
    </row>
    <row r="399">
      <c r="L399" s="33" t="n"/>
    </row>
    <row r="400">
      <c r="L400" s="33" t="n"/>
    </row>
    <row r="401">
      <c r="L401" s="33" t="n"/>
    </row>
    <row r="402">
      <c r="L402" s="33" t="n"/>
    </row>
    <row r="403">
      <c r="L403" s="33" t="n"/>
    </row>
    <row r="404">
      <c r="L404" s="33" t="n"/>
    </row>
    <row r="405">
      <c r="L405" s="33" t="n"/>
    </row>
    <row r="406">
      <c r="L406" s="33" t="n"/>
    </row>
    <row r="407">
      <c r="L407" s="33" t="n"/>
    </row>
    <row r="408">
      <c r="L408" s="33" t="n"/>
    </row>
    <row r="409">
      <c r="L409" s="33" t="n"/>
    </row>
    <row r="410">
      <c r="L410" s="33" t="n"/>
    </row>
    <row r="411">
      <c r="L411" s="33" t="n"/>
    </row>
    <row r="412">
      <c r="L412" s="33" t="n"/>
    </row>
    <row r="413">
      <c r="L413" s="33" t="n"/>
    </row>
    <row r="414">
      <c r="L414" s="33" t="n"/>
    </row>
    <row r="415">
      <c r="L415" s="33" t="n"/>
    </row>
    <row r="416">
      <c r="L416" s="33" t="n"/>
    </row>
    <row r="417">
      <c r="L417" s="33" t="n"/>
    </row>
    <row r="418">
      <c r="L418" s="33" t="n"/>
    </row>
    <row r="419">
      <c r="L419" s="33" t="n"/>
    </row>
    <row r="420">
      <c r="L420" s="33" t="n"/>
    </row>
    <row r="421">
      <c r="L421" s="33" t="n"/>
    </row>
    <row r="422">
      <c r="L422" s="33" t="n"/>
    </row>
    <row r="423">
      <c r="L423" s="33" t="n"/>
    </row>
    <row r="424">
      <c r="L424" s="33" t="n"/>
    </row>
    <row r="425">
      <c r="L425" s="33" t="n"/>
    </row>
    <row r="426">
      <c r="L426" s="33" t="n"/>
    </row>
    <row r="427">
      <c r="L427" s="33" t="n"/>
    </row>
    <row r="428">
      <c r="L428" s="33" t="n"/>
    </row>
    <row r="429">
      <c r="L429" s="33" t="n"/>
    </row>
    <row r="430">
      <c r="L430" s="33" t="n"/>
    </row>
    <row r="431">
      <c r="L431" s="33" t="n"/>
    </row>
    <row r="432">
      <c r="L432" s="33" t="n"/>
    </row>
    <row r="433">
      <c r="L433" s="33" t="n"/>
    </row>
    <row r="434">
      <c r="L434" s="33" t="n"/>
    </row>
    <row r="435">
      <c r="L435" s="33" t="n"/>
    </row>
    <row r="436">
      <c r="L436" s="33" t="n"/>
    </row>
    <row r="437">
      <c r="L437" s="33" t="n"/>
    </row>
    <row r="438">
      <c r="L438" s="33" t="n"/>
    </row>
    <row r="439">
      <c r="L439" s="33" t="n"/>
    </row>
    <row r="440">
      <c r="L440" s="33" t="n"/>
    </row>
    <row r="441">
      <c r="L441" s="33" t="n"/>
    </row>
    <row r="442">
      <c r="L442" s="33" t="n"/>
    </row>
    <row r="443">
      <c r="L443" s="33" t="n"/>
    </row>
    <row r="444">
      <c r="L444" s="33" t="n"/>
    </row>
    <row r="445">
      <c r="L445" s="33" t="n"/>
    </row>
    <row r="446">
      <c r="L446" s="33" t="n"/>
    </row>
    <row r="447">
      <c r="L447" s="33" t="n"/>
    </row>
    <row r="448">
      <c r="L448" s="33" t="n"/>
    </row>
    <row r="449">
      <c r="L449" s="33" t="n"/>
    </row>
    <row r="450">
      <c r="L450" s="33" t="n"/>
    </row>
    <row r="451">
      <c r="L451" s="33" t="n"/>
    </row>
    <row r="452">
      <c r="L452" s="33" t="n"/>
    </row>
    <row r="453">
      <c r="L453" s="33" t="n"/>
    </row>
    <row r="454">
      <c r="L454" s="33" t="n"/>
    </row>
    <row r="455">
      <c r="L455" s="33" t="n"/>
    </row>
    <row r="456">
      <c r="L456" s="33" t="n"/>
    </row>
    <row r="457">
      <c r="L457" s="33" t="n"/>
    </row>
    <row r="458">
      <c r="L458" s="33" t="n"/>
    </row>
    <row r="459">
      <c r="L459" s="33" t="n"/>
    </row>
    <row r="460">
      <c r="L460" s="33" t="n"/>
    </row>
    <row r="461">
      <c r="L461" s="33" t="n"/>
    </row>
    <row r="462">
      <c r="L462" s="33" t="n"/>
    </row>
    <row r="463">
      <c r="L463" s="33" t="n"/>
    </row>
    <row r="464">
      <c r="L464" s="33" t="n"/>
    </row>
    <row r="465">
      <c r="L465" s="33" t="n"/>
    </row>
    <row r="466">
      <c r="L466" s="33" t="n"/>
    </row>
    <row r="467">
      <c r="L467" s="33" t="n"/>
    </row>
    <row r="468">
      <c r="L468" s="33" t="n"/>
    </row>
    <row r="469">
      <c r="L469" s="33" t="n"/>
    </row>
    <row r="470">
      <c r="L470" s="33" t="n"/>
    </row>
    <row r="471">
      <c r="L471" s="33" t="n"/>
    </row>
    <row r="472">
      <c r="L472" s="33" t="n"/>
    </row>
    <row r="473">
      <c r="L473" s="33" t="n"/>
    </row>
    <row r="474">
      <c r="L474" s="33" t="n"/>
    </row>
    <row r="475">
      <c r="L475" s="33" t="n"/>
    </row>
    <row r="476">
      <c r="L476" s="33" t="n"/>
    </row>
    <row r="477">
      <c r="L477" s="33" t="n"/>
    </row>
    <row r="478">
      <c r="L478" s="33" t="n"/>
    </row>
    <row r="479">
      <c r="L479" s="33" t="n"/>
    </row>
    <row r="480">
      <c r="L480" s="33" t="n"/>
    </row>
    <row r="481">
      <c r="L481" s="33" t="n"/>
    </row>
    <row r="482">
      <c r="L482" s="33" t="n"/>
    </row>
    <row r="483">
      <c r="L483" s="33" t="n"/>
    </row>
    <row r="484">
      <c r="L484" s="33" t="n"/>
    </row>
    <row r="485">
      <c r="L485" s="33" t="n"/>
    </row>
    <row r="486">
      <c r="L486" s="33" t="n"/>
    </row>
    <row r="487">
      <c r="L487" s="33" t="n"/>
    </row>
    <row r="488">
      <c r="L488" s="33" t="n"/>
    </row>
    <row r="489">
      <c r="L489" s="33" t="n"/>
    </row>
    <row r="490">
      <c r="L490" s="33" t="n"/>
    </row>
    <row r="491">
      <c r="L491" s="33" t="n"/>
    </row>
    <row r="492">
      <c r="L492" s="33" t="n"/>
    </row>
    <row r="493">
      <c r="L493" s="33" t="n"/>
    </row>
    <row r="494">
      <c r="L494" s="33" t="n"/>
    </row>
    <row r="495">
      <c r="L495" s="33" t="n"/>
    </row>
    <row r="496">
      <c r="L496" s="33" t="n"/>
    </row>
    <row r="497">
      <c r="L497" s="33" t="n"/>
    </row>
    <row r="498">
      <c r="L498" s="33" t="n"/>
    </row>
    <row r="499">
      <c r="L499" s="33" t="n"/>
    </row>
    <row r="500">
      <c r="L500" s="33" t="n"/>
    </row>
  </sheetData>
  <autoFilter ref="A5:O25"/>
  <mergeCells count="3">
    <mergeCell ref="A1:O1"/>
    <mergeCell ref="A4:O4"/>
    <mergeCell ref="A2:O2"/>
  </mergeCells>
  <conditionalFormatting sqref="J6:J500">
    <cfRule type="expression" priority="1" dxfId="0">
      <formula>$J6="Hoàn thành"</formula>
    </cfRule>
    <cfRule type="expression" priority="2" dxfId="1">
      <formula>$J6="Đang làm"</formula>
    </cfRule>
    <cfRule type="expression" priority="3" dxfId="2">
      <formula>$J6="Bị chặn"</formula>
    </cfRule>
  </conditionalFormatting>
  <conditionalFormatting sqref="I6:I500">
    <cfRule type="expression" priority="4" dxfId="3">
      <formula>$I6="Cao"</formula>
    </cfRule>
    <cfRule type="expression" priority="5" dxfId="1">
      <formula>$I6="Trung bình"</formula>
    </cfRule>
    <cfRule type="expression" priority="6" dxfId="4">
      <formula>$I6="Thấp"</formula>
    </cfRule>
  </conditionalFormatting>
  <conditionalFormatting sqref="A6:O25">
    <cfRule type="expression" priority="7" dxfId="5">
      <formula>$J6="Bị chặn"</formula>
    </cfRule>
  </conditionalFormatting>
  <dataValidations count="3">
    <dataValidation sqref="J6:J500" showDropDown="0" showInputMessage="0" showErrorMessage="0" allowBlank="1" type="list">
      <formula1>"Chưa bắt đầu,Đang làm,Bị chặn,Hoàn thành,Không áp dụng"</formula1>
    </dataValidation>
    <dataValidation sqref="I6:I500" showDropDown="0" showInputMessage="0" showErrorMessage="0" allowBlank="1" type="list">
      <formula1>"Cao,Trung bình,Thấp"</formula1>
    </dataValidation>
    <dataValidation sqref="D6:D500" showDropDown="0" showInputMessage="0" showErrorMessage="0" allowBlank="0" type="list">
      <formula1>"M1,M2,M3"</formula1>
    </dataValidation>
  </dataValidation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54" customWidth="1" min="4" max="4"/>
    <col width="54" customWidth="1" min="5" max="5"/>
    <col width="36" customWidth="1" min="6" max="6"/>
    <col width="40" customWidth="1" min="7" max="7"/>
    <col width="46" customWidth="1" min="8" max="8"/>
  </cols>
  <sheetData>
    <row r="1" ht="32" customHeight="1">
      <c r="A1" s="1" t="inlineStr">
        <is>
          <t>Original Milestone Map</t>
        </is>
      </c>
    </row>
    <row r="2" ht="28" customHeight="1">
      <c r="A2" s="3" t="inlineStr">
        <is>
          <t>Original milestone/budget structure from the source document, kept for acceptance and payment review.</t>
        </is>
      </c>
    </row>
    <row r="5">
      <c r="A5" s="34" t="inlineStr">
        <is>
          <t>Milestone</t>
        </is>
      </c>
      <c r="B5" s="34" t="inlineStr">
        <is>
          <t>Budget USD</t>
        </is>
      </c>
      <c r="C5" s="34" t="inlineStr">
        <is>
          <t>Original Theme</t>
        </is>
      </c>
      <c r="D5" s="34" t="inlineStr">
        <is>
          <t>Source Scope</t>
        </is>
      </c>
      <c r="E5" s="34" t="inlineStr">
        <is>
          <t>Source Deliverable</t>
        </is>
      </c>
      <c r="F5" s="34" t="inlineStr">
        <is>
          <t>App Feature Link</t>
        </is>
      </c>
      <c r="G5" s="34" t="inlineStr">
        <is>
          <t>Web/Backend Feature Link</t>
        </is>
      </c>
      <c r="H5" s="34" t="inlineStr">
        <is>
          <t>Technical Notes</t>
        </is>
      </c>
    </row>
    <row r="6" ht="92" customHeight="1">
      <c r="A6" s="35" t="inlineStr">
        <is>
          <t>M1</t>
        </is>
      </c>
      <c r="B6" s="36" t="n">
        <v>250</v>
      </c>
      <c r="C6" s="35" t="inlineStr">
        <is>
          <t>Nền tảng và Kết nối lõi (Foundation &amp; Core Control)</t>
        </is>
      </c>
      <c r="D6" s="35" t="inlineStr">
        <is>
          <t>React Native CLI + Tuya SDK; login/home setup; in-app pairing WiFi/Bluetooth; basic temperature dashboard/control.</t>
        </is>
      </c>
      <c r="E6" s="35" t="inlineStr">
        <is>
          <t>Build app can pair with real device and perform basic temperature commands.</t>
        </is>
      </c>
      <c r="F6" s="35" t="inlineStr">
        <is>
          <t>Auth &amp; Account; Tuya Home Setup; Device Pairing; Core Device Control</t>
        </is>
      </c>
      <c r="G6" s="35" t="inlineStr">
        <is>
          <t>Tuya Operational Setup</t>
        </is>
      </c>
      <c r="H6" s="35" t="inlineStr">
        <is>
          <t>Tuya account and Cloud Project must use same Data Center; guest account must be Tuya Home Owner.</t>
        </is>
      </c>
    </row>
    <row r="7" ht="92" customHeight="1">
      <c r="A7" s="37" t="inlineStr">
        <is>
          <t>M2</t>
        </is>
      </c>
      <c r="B7" s="38" t="n">
        <v>280</v>
      </c>
      <c r="C7" s="37" t="inlineStr">
        <is>
          <t>Hoàn thiện UI và Hệ thống quản trị (UI Completion &amp; Backend)</t>
        </is>
      </c>
      <c r="D7" s="37" t="inlineStr">
        <is>
          <t>Complete mobile UI; Supabase/Vercel backend; user profile; device mapping; home management; admin panel.</t>
        </is>
      </c>
      <c r="E7" s="37" t="inlineStr">
        <is>
          <t>Complete UI, stable backend sync, and admin page for operational management.</t>
        </is>
      </c>
      <c r="F7" s="37" t="inlineStr">
        <is>
          <t>Mobile UI/UX; Smart Controls; Home Management; Account Profile</t>
        </is>
      </c>
      <c r="G7" s="37" t="inlineStr">
        <is>
          <t>Backend Foundation; Device Mapping; Backend APIs; Admin Panel; Home Management Backend</t>
        </is>
      </c>
      <c r="H7" s="37" t="inlineStr">
        <is>
          <t>Backend on Supabase/Vercel with stable data sync.</t>
        </is>
      </c>
    </row>
    <row r="8" ht="92" customHeight="1">
      <c r="A8" s="35" t="inlineStr">
        <is>
          <t>M3</t>
        </is>
      </c>
      <c r="B8" s="36" t="n">
        <v>170</v>
      </c>
      <c r="C8" s="35" t="inlineStr">
        <is>
          <t>Tính năng nâng cao và Bàn giao (Advanced Features &amp; Delivery)</t>
        </is>
      </c>
      <c r="D8" s="35" t="inlineStr">
        <is>
          <t>Into the Cold; push notifications; filter reminders; testing; performance; deployment and source handoff.</t>
        </is>
      </c>
      <c r="E8" s="35" t="inlineStr">
        <is>
          <t>App is complete for end users with handoff documentation.</t>
        </is>
      </c>
      <c r="F8" s="35" t="inlineStr">
        <is>
          <t>Into the Cold; Push Notifications; Filter Reminder; QA &amp; Release</t>
        </is>
      </c>
      <c r="G8" s="35" t="inlineStr">
        <is>
          <t>Notifications Backend; Filter Reminder Backend; Operational Delivery</t>
        </is>
      </c>
      <c r="H8" s="35" t="inlineStr">
        <is>
          <t>FCM notifications; testing, performance, deployment, and source handoff.</t>
        </is>
      </c>
    </row>
  </sheetData>
  <mergeCells count="2">
    <mergeCell ref="A2:H2"/>
    <mergeCell ref="A1:H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54" customWidth="1" min="2" max="2"/>
    <col width="22" customWidth="1" min="3" max="3"/>
    <col width="58" customWidth="1" min="4" max="4"/>
    <col width="54" customWidth="1" min="5" max="5"/>
    <col width="34" customWidth="1" min="6" max="6"/>
  </cols>
  <sheetData>
    <row r="1" ht="32" customHeight="1">
      <c r="A1" s="1" t="inlineStr">
        <is>
          <t>Source Notes &amp; Assumptions</t>
        </is>
      </c>
    </row>
    <row r="2" ht="28" customHeight="1">
      <c r="A2" s="3" t="inlineStr">
        <is>
          <t>Traceability for the checklist rows and how feature grouping was interpreted.</t>
        </is>
      </c>
    </row>
    <row r="5">
      <c r="A5" s="34" t="inlineStr">
        <is>
          <t>Source</t>
        </is>
      </c>
      <c r="B5" s="34" t="inlineStr">
        <is>
          <t>Path</t>
        </is>
      </c>
      <c r="C5" s="34" t="inlineStr">
        <is>
          <t>Used For</t>
        </is>
      </c>
      <c r="D5" s="34" t="inlineStr">
        <is>
          <t>Key Extracted Scope</t>
        </is>
      </c>
      <c r="E5" s="34" t="inlineStr">
        <is>
          <t>Assumption / Interpretation</t>
        </is>
      </c>
      <c r="F5" s="34" t="inlineStr">
        <is>
          <t>Review Note</t>
        </is>
      </c>
    </row>
    <row r="6" ht="96" customHeight="1">
      <c r="A6" s="35" t="inlineStr">
        <is>
          <t>Project Overview</t>
        </is>
      </c>
      <c r="B6" s="35" t="inlineStr">
        <is>
          <t>docs/TÀI-LIỆU-1-TỔNG-QUAN-DỰ-ÁN-(PROJECT-OVERVIEW).txt</t>
        </is>
      </c>
      <c r="C6" s="35" t="inlineStr">
        <is>
          <t>Feature taxonomy</t>
        </is>
      </c>
      <c r="D6" s="35" t="inlineStr">
        <is>
          <t>Mobile app, Tuya SDK, Supabase/Vercel, FCM, pairing, smart control, account, Into the Cold, filter reminder, home management, admin panel.</t>
        </is>
      </c>
      <c r="E6" s="35" t="inlineStr">
        <is>
          <t>Rows were grouped by product feature area first, not payment milestone.</t>
        </is>
      </c>
      <c r="F6" s="35" t="inlineStr">
        <is>
          <t>Keep as baseline product scope.</t>
        </is>
      </c>
    </row>
    <row r="7" ht="96" customHeight="1">
      <c r="A7" s="37" t="inlineStr">
        <is>
          <t>Milestone Document</t>
        </is>
      </c>
      <c r="B7" s="37" t="inlineStr">
        <is>
          <t>docs/TÀI-LIỆU-2-CHI-TIẾT-CÁC-CỘT-MỐC-(MILESTONE-DOCUMENT).txt</t>
        </is>
      </c>
      <c r="C7" s="37" t="inlineStr">
        <is>
          <t>Milestone/budget/acceptance mapping</t>
        </is>
      </c>
      <c r="D7" s="37" t="inlineStr">
        <is>
          <t>M1 $250, M2 $280, M3 $170 with deliverables and technical Tuya notes.</t>
        </is>
      </c>
      <c r="E7" s="37" t="inlineStr">
        <is>
          <t>Milestone and budget columns remain as metadata for acceptance/payment review.</t>
        </is>
      </c>
      <c r="F7" s="37" t="inlineStr">
        <is>
          <t>Use Milestone Map for contract-level review.</t>
        </is>
      </c>
    </row>
    <row r="8" ht="96" customHeight="1">
      <c r="A8" s="35" t="inlineStr">
        <is>
          <t>Feature grouping</t>
        </is>
      </c>
      <c r="B8" s="35" t="inlineStr">
        <is>
          <t>Derived from both docs</t>
        </is>
      </c>
      <c r="C8" s="35" t="inlineStr">
        <is>
          <t>Workbook structure</t>
        </is>
      </c>
      <c r="D8" s="35" t="inlineStr">
        <is>
          <t>App features are separated from Web/Admin + Backend features.</t>
        </is>
      </c>
      <c r="E8" s="35" t="inlineStr">
        <is>
          <t>Backend items are grouped with Web/Admin because the admin panel and operational APIs are delivered as the web/backend layer.</t>
        </is>
      </c>
      <c r="F8" s="35" t="inlineStr">
        <is>
          <t>Adjust Area labels if the team wants a separate Backend sheet.</t>
        </is>
      </c>
    </row>
  </sheetData>
  <mergeCells count="2">
    <mergeCell ref="A2:F2"/>
    <mergeCell ref="A1:F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2026-07-04T18:42:29Z</dcterms:created>
  <dcterms:modified xmlns:dcterms="http://purl.org/dc/terms/" xmlns:xsi="http://www.w3.org/2001/XMLSchema-instance" xsi:type="dcterms:W3CDTF">2026-07-04T18:43:02Z</dcterms:modified>
</cp:coreProperties>
</file>